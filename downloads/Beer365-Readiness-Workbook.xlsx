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nkurnapa/Documents/da-website/downloads/"/>
    </mc:Choice>
  </mc:AlternateContent>
  <xr:revisionPtr revIDLastSave="0" documentId="13_ncr:1_{48C8C2BF-F891-2343-BCD9-1976B0B03091}" xr6:coauthVersionLast="47" xr6:coauthVersionMax="47" xr10:uidLastSave="{00000000-0000-0000-0000-000000000000}"/>
  <bookViews>
    <workbookView xWindow="0" yWindow="660" windowWidth="29400" windowHeight="16660" xr2:uid="{00000000-000D-0000-FFFF-FFFF00000000}"/>
  </bookViews>
  <sheets>
    <sheet name="Start here" sheetId="1" r:id="rId1"/>
    <sheet name="1 Profile" sheetId="2" r:id="rId2"/>
    <sheet name="2 Records" sheetId="3" r:id="rId3"/>
    <sheet name="3 Meters" sheetId="4" r:id="rId4"/>
    <sheet name="4 Baseline" sheetId="5" r:id="rId5"/>
    <sheet name="5 Savings" sheetId="6" r:id="rId6"/>
    <sheet name="6 Questions" sheetId="7" r:id="rId7"/>
    <sheet name="7 Readiness" sheetId="8" r:id="rId8"/>
  </sheets>
  <definedNames>
    <definedName name="_xlnm._FilterDatabase" localSheetId="6" hidden="1">'6 Questions'!$A$4:$H$225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8" l="1"/>
  <c r="B14" i="8" s="1"/>
  <c r="B10" i="8"/>
  <c r="B8" i="8"/>
  <c r="B7" i="8"/>
  <c r="B6" i="8"/>
  <c r="B5" i="8"/>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B16" i="8" s="1"/>
  <c r="H6" i="7"/>
  <c r="H5" i="7"/>
  <c r="B15" i="8" s="1"/>
  <c r="K17" i="5"/>
  <c r="J17" i="5"/>
  <c r="I17" i="5"/>
  <c r="H17" i="5"/>
  <c r="G17" i="5"/>
  <c r="F17" i="5"/>
  <c r="E17" i="5"/>
  <c r="D17" i="5"/>
  <c r="C17" i="5"/>
  <c r="B17" i="5"/>
  <c r="P16" i="5"/>
  <c r="O16" i="5"/>
  <c r="N16" i="5"/>
  <c r="M16" i="5"/>
  <c r="L16" i="5"/>
  <c r="P15" i="5"/>
  <c r="O15" i="5"/>
  <c r="N15" i="5"/>
  <c r="M15" i="5"/>
  <c r="L15" i="5"/>
  <c r="P14" i="5"/>
  <c r="O14" i="5"/>
  <c r="N14" i="5"/>
  <c r="M14" i="5"/>
  <c r="L14" i="5"/>
  <c r="P13" i="5"/>
  <c r="O13" i="5"/>
  <c r="N13" i="5"/>
  <c r="M13" i="5"/>
  <c r="L13" i="5"/>
  <c r="P12" i="5"/>
  <c r="O12" i="5"/>
  <c r="N12" i="5"/>
  <c r="M12" i="5"/>
  <c r="L12" i="5"/>
  <c r="P11" i="5"/>
  <c r="O11" i="5"/>
  <c r="N11" i="5"/>
  <c r="M11" i="5"/>
  <c r="L11" i="5"/>
  <c r="P10" i="5"/>
  <c r="O10" i="5"/>
  <c r="N10" i="5"/>
  <c r="M10" i="5"/>
  <c r="L10" i="5"/>
  <c r="P9" i="5"/>
  <c r="O9" i="5"/>
  <c r="N9" i="5"/>
  <c r="M9" i="5"/>
  <c r="L9" i="5"/>
  <c r="P8" i="5"/>
  <c r="O8" i="5"/>
  <c r="N8" i="5"/>
  <c r="M8" i="5"/>
  <c r="L8" i="5"/>
  <c r="P7" i="5"/>
  <c r="O7" i="5"/>
  <c r="N7" i="5"/>
  <c r="M7" i="5"/>
  <c r="L7" i="5"/>
  <c r="P6" i="5"/>
  <c r="O6" i="5"/>
  <c r="N6" i="5"/>
  <c r="M6" i="5"/>
  <c r="L6" i="5"/>
  <c r="P5" i="5"/>
  <c r="P17" i="5" s="1"/>
  <c r="O5" i="5"/>
  <c r="O17" i="5" s="1"/>
  <c r="N5" i="5"/>
  <c r="N17" i="5" s="1"/>
  <c r="M5" i="5"/>
  <c r="M17" i="5" s="1"/>
  <c r="D22" i="4"/>
  <c r="D21" i="4"/>
  <c r="D20" i="4"/>
  <c r="D19" i="4"/>
  <c r="D18" i="4"/>
  <c r="D17" i="4"/>
  <c r="D16" i="4"/>
  <c r="D15" i="4"/>
  <c r="D14" i="4"/>
  <c r="D13" i="4"/>
  <c r="D12" i="4"/>
  <c r="D11" i="4"/>
  <c r="D10" i="4"/>
  <c r="D9" i="4"/>
  <c r="D8" i="4"/>
  <c r="D7" i="4"/>
  <c r="D6" i="4"/>
  <c r="D5" i="4"/>
  <c r="B11" i="8" s="1"/>
  <c r="B12" i="8" s="1"/>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E22" i="2"/>
  <c r="E21" i="2"/>
  <c r="E20" i="2"/>
  <c r="E19" i="2"/>
  <c r="E18" i="2"/>
  <c r="E17" i="2"/>
  <c r="B16" i="6" s="1"/>
  <c r="E16" i="2"/>
  <c r="E15" i="2"/>
  <c r="E14" i="2"/>
  <c r="E13" i="2"/>
  <c r="L5" i="5" s="1"/>
  <c r="L17" i="5" s="1"/>
  <c r="E12" i="2"/>
  <c r="E11" i="2"/>
  <c r="B13" i="6" s="1"/>
  <c r="E10" i="2"/>
  <c r="E9" i="2"/>
  <c r="E8" i="2"/>
  <c r="E7" i="2"/>
  <c r="B15" i="6" s="1"/>
  <c r="E6" i="2"/>
  <c r="E5" i="2"/>
  <c r="B14" i="6" l="1"/>
  <c r="B9" i="8"/>
  <c r="B18" i="8"/>
  <c r="B19" i="8" s="1"/>
  <c r="B12" i="6"/>
  <c r="B17" i="6" s="1"/>
  <c r="B17" i="8" l="1"/>
  <c r="B19" i="6"/>
  <c r="B1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Ankur Napa</author>
  </authors>
  <commentList>
    <comment ref="B12" authorId="0" shapeId="0" xr:uid="{00000000-0006-0000-0500-000001000000}">
      <text>
        <r>
          <rPr>
            <sz val="11"/>
            <color theme="1"/>
            <rFont val="Calibri"/>
            <family val="2"/>
            <scheme val="minor"/>
          </rPr>
          <t>Currency: as set on the Profile sheet.</t>
        </r>
      </text>
    </comment>
  </commentList>
</comments>
</file>

<file path=xl/sharedStrings.xml><?xml version="1.0" encoding="utf-8"?>
<sst xmlns="http://schemas.openxmlformats.org/spreadsheetml/2006/main" count="1151" uniqueCount="684">
  <si>
    <t>Beer365 Readiness Workbook</t>
  </si>
  <si>
    <t>What to gather before a Beer365 assessment, and a first look at what your brewery could save.</t>
  </si>
  <si>
    <t>How to use it</t>
  </si>
  <si>
    <t>Fill the yellow cells only. Everything else is a formula and updates as you type. Grey italic rows are examples showing the expected format; overwrite or delete them.</t>
  </si>
  <si>
    <t>1 Brewery profile</t>
  </si>
  <si>
    <t>Volumes, costs and the assumptions every other sheet uses. Ten minutes.</t>
  </si>
  <si>
    <t>2 Records</t>
  </si>
  <si>
    <t>Where each record your brewery keeps actually lives, and how much you trust it. This is the biggest single predictor of how fast Beer365 goes live.</t>
  </si>
  <si>
    <t>3 Meters</t>
  </si>
  <si>
    <t>The measurement points the savings depend on, and when each was last calibrated.</t>
  </si>
  <si>
    <t>4 Baseline</t>
  </si>
  <si>
    <t>Up to twelve months of plant figures. Loss, brewhouse yield, energy and water ratios are worked out for you.</t>
  </si>
  <si>
    <t>5 Savings</t>
  </si>
  <si>
    <t>The five savings formulas from beer365 (beer loss, extract, energy, dumped batches, reporting), fed by your own numbers. Planning figures, not a promise: the real starting point is measured and signed in the assessment.</t>
  </si>
  <si>
    <t>6 Questions</t>
  </si>
  <si>
    <t>All 221 questions Beer365 answers. Score how much each matters and whether you have the data; the priority column ranks them.</t>
  </si>
  <si>
    <t>7 Readiness</t>
  </si>
  <si>
    <t>One page summary: records, meters, baseline coverage and an overall readiness score.</t>
  </si>
  <si>
    <t>When you are done</t>
  </si>
  <si>
    <t>Send the workbook to info@disruptive-advantage.com, or bring it to the first call. We read it before we meet.</t>
  </si>
  <si>
    <t>Colour legend</t>
  </si>
  <si>
    <t>Yellow fill and blue text: your input. Black text: a formula. Do not overwrite formulas.</t>
  </si>
  <si>
    <t>Your data</t>
  </si>
  <si>
    <t>Nothing in this file leaves your hands unless you send it. It contains no macros and no links.</t>
  </si>
  <si>
    <t>Beer365, built by Disruptive Advantage. ankurnapa.github.io/disruptive-advantage</t>
  </si>
  <si>
    <t>Brewery profile</t>
  </si>
  <si>
    <t>Yellow cells are yours. The example column shows the expected format.</t>
  </si>
  <si>
    <t>Item</t>
  </si>
  <si>
    <t>Your brewery</t>
  </si>
  <si>
    <t>Example</t>
  </si>
  <si>
    <t>Why we ask</t>
  </si>
  <si>
    <t>Used in the sheets</t>
  </si>
  <si>
    <t>Brewery name</t>
  </si>
  <si>
    <t>Example Brewing Co</t>
  </si>
  <si>
    <t>Currency used below</t>
  </si>
  <si>
    <t>INR</t>
  </si>
  <si>
    <t>Every money figure in this workbook is in this currency.</t>
  </si>
  <si>
    <t>Beer packaged a year (hL)</t>
  </si>
  <si>
    <t>Drives every saving.</t>
  </si>
  <si>
    <t>Brews a week</t>
  </si>
  <si>
    <t>Number of fermenters and unitanks</t>
  </si>
  <si>
    <t>Packaging lines (bottle, can, keg)</t>
  </si>
  <si>
    <t>Malt and adjunct charged a year (kg)</t>
  </si>
  <si>
    <t>Base for extract and brewhouse yield.</t>
  </si>
  <si>
    <t>Malt and adjunct cost per kg</t>
  </si>
  <si>
    <t>Hypothetical example price.</t>
  </si>
  <si>
    <t>Average extract of the grist, as-is (%)</t>
  </si>
  <si>
    <t>From the malt certificates; fine grind, as-is basis.</t>
  </si>
  <si>
    <t>Brewing cost per hL (malt, hops, energy, water)</t>
  </si>
  <si>
    <t>Lost beer is valued at cost to make, not selling price.</t>
  </si>
  <si>
    <t>Energy cost per hL (power plus steam)</t>
  </si>
  <si>
    <t>Or leave blank and use the Baseline sheet.</t>
  </si>
  <si>
    <t>Brewhouse efficiency today (%)</t>
  </si>
  <si>
    <t>If you know it. The Baseline sheet also works it out.</t>
  </si>
  <si>
    <t>Hours a week spent compiling reports by hand</t>
  </si>
  <si>
    <t>All people, all reports.</t>
  </si>
  <si>
    <t>Cost of an hour of that time</t>
  </si>
  <si>
    <t>Loaded cost.</t>
  </si>
  <si>
    <t>Main ERP or accounting system</t>
  </si>
  <si>
    <t>Excel</t>
  </si>
  <si>
    <t>Process historian or SCADA</t>
  </si>
  <si>
    <t>None</t>
  </si>
  <si>
    <t>Laboratory system (LIMS) or lab sheets</t>
  </si>
  <si>
    <t>Excel lab sheets</t>
  </si>
  <si>
    <t>Cloud you already use (Azure, AWS, Google, none)</t>
  </si>
  <si>
    <t>Microsoft 365 only</t>
  </si>
  <si>
    <t>Beer365 runs in your own Azure tenant; it can read data held on AWS or Google.</t>
  </si>
  <si>
    <t>Until you fill a yellow cell, the sheets use the example value beside it, so the savings page shows a worked example from the start.</t>
  </si>
  <si>
    <t>Where your records live</t>
  </si>
  <si>
    <t>One row per record. Choose where it is kept, how often it is updated, and how much you trust it (1 low to 5 high).</t>
  </si>
  <si>
    <t>Area</t>
  </si>
  <si>
    <t>Record</t>
  </si>
  <si>
    <t>Where it is kept</t>
  </si>
  <si>
    <t>How often</t>
  </si>
  <si>
    <t>Owner</t>
  </si>
  <si>
    <t>Trust 1 to 5</t>
  </si>
  <si>
    <t>Ready score</t>
  </si>
  <si>
    <t>Notes</t>
  </si>
  <si>
    <t>Raw materials and recipe</t>
  </si>
  <si>
    <t>Malt certificates of analysis by lot</t>
  </si>
  <si>
    <t>Excel or Google Sheets</t>
  </si>
  <si>
    <t>Each batch</t>
  </si>
  <si>
    <t>Quality manager</t>
  </si>
  <si>
    <t>Example row: overwrite with your own</t>
  </si>
  <si>
    <t>Hop certificates and alpha acid by lot</t>
  </si>
  <si>
    <t>Water analysis</t>
  </si>
  <si>
    <t>Goods received and lot numbers</t>
  </si>
  <si>
    <t>Recipes and specifications</t>
  </si>
  <si>
    <t>Brewhouse</t>
  </si>
  <si>
    <t>Brew sheets (grist, volumes, gravities, times)</t>
  </si>
  <si>
    <t>Mash and kettle temperature logs</t>
  </si>
  <si>
    <t>Wort volumes at kettle and knockout</t>
  </si>
  <si>
    <t>Fermentation and cellar</t>
  </si>
  <si>
    <t>Fermentation gravity and temperature readings</t>
  </si>
  <si>
    <t>Yeast pitch, generation and viability</t>
  </si>
  <si>
    <t>Tank transfers and losses</t>
  </si>
  <si>
    <t>Filtration and bright beer tank records</t>
  </si>
  <si>
    <t>Packaging</t>
  </si>
  <si>
    <t>Line counts, rejects and downtime</t>
  </si>
  <si>
    <t>Fill level and dissolved oxygen checks</t>
  </si>
  <si>
    <t>Packaging material lots</t>
  </si>
  <si>
    <t>Date codes against tank and batch</t>
  </si>
  <si>
    <t>Quality, safety and traceability</t>
  </si>
  <si>
    <t>Laboratory results by batch</t>
  </si>
  <si>
    <t>Sensory panel results</t>
  </si>
  <si>
    <t>Complaints log</t>
  </si>
  <si>
    <t>Micro results by sample point</t>
  </si>
  <si>
    <t>CIP records</t>
  </si>
  <si>
    <t>Energy, utilities and plant</t>
  </si>
  <si>
    <t>Power meter readings by area</t>
  </si>
  <si>
    <t>Steam or fuel use</t>
  </si>
  <si>
    <t>Water meter readings</t>
  </si>
  <si>
    <t>Refrigeration and compressor logs</t>
  </si>
  <si>
    <t>Maintenance work orders</t>
  </si>
  <si>
    <t>Supply chain, sales and marketing</t>
  </si>
  <si>
    <t>Stock and warehouse movements</t>
  </si>
  <si>
    <t>Sales by SKU, channel and outlet</t>
  </si>
  <si>
    <t>Distributor depletions</t>
  </si>
  <si>
    <t>Keg fleet and returns</t>
  </si>
  <si>
    <t>Finance, duty, ESG and people</t>
  </si>
  <si>
    <t>Excise or duty register</t>
  </si>
  <si>
    <t>Cost of goods by brand and pack</t>
  </si>
  <si>
    <t>Shift logs and handovers</t>
  </si>
  <si>
    <t>Monthly management reports</t>
  </si>
  <si>
    <t>Ready score: 0 if not kept; trust out of 5, halved for paper records because they have to be keyed in first.</t>
  </si>
  <si>
    <t>Meters and instruments</t>
  </si>
  <si>
    <t>Is it fitted, and when was it last calibrated? Savings are only as good as the meter behind them.</t>
  </si>
  <si>
    <t>Measurement point</t>
  </si>
  <si>
    <t>Fitted?</t>
  </si>
  <si>
    <t>Last calibrated</t>
  </si>
  <si>
    <t>Within 12 months</t>
  </si>
  <si>
    <t>Malt intake weigher or silo load cells</t>
  </si>
  <si>
    <t>Yes</t>
  </si>
  <si>
    <t>Hot liquor and sparge water flow</t>
  </si>
  <si>
    <t>Wort flow or volume at knockout</t>
  </si>
  <si>
    <t>Wort gravity at knockout (density meter or lab)</t>
  </si>
  <si>
    <t>Fermenter level or volume</t>
  </si>
  <si>
    <t>Fermenter temperature probes</t>
  </si>
  <si>
    <t>Inline gravity in fermentation (if fitted)</t>
  </si>
  <si>
    <t>Bright beer tank level</t>
  </si>
  <si>
    <t>Dissolved oxygen meter (packaging)</t>
  </si>
  <si>
    <t>Filler counters and rejects</t>
  </si>
  <si>
    <t>Keg fill weight scale</t>
  </si>
  <si>
    <t>Main power meter</t>
  </si>
  <si>
    <t>Power meters by area</t>
  </si>
  <si>
    <t>Steam or boiler fuel meter</t>
  </si>
  <si>
    <t>Main water meter</t>
  </si>
  <si>
    <t>Water meters by area</t>
  </si>
  <si>
    <t>CO2 recovery and purchase meter</t>
  </si>
  <si>
    <t>Refrigeration plant power</t>
  </si>
  <si>
    <t>Baseline months</t>
  </si>
  <si>
    <t>Up to twelve months of plant figures. Yellow columns are yours; the grey columns are worked out. One example month is filled in.</t>
  </si>
  <si>
    <t>Month</t>
  </si>
  <si>
    <t>Brews</t>
  </si>
  <si>
    <t>Grist charged (kg)</t>
  </si>
  <si>
    <t>Knockout wort (hL)</t>
  </si>
  <si>
    <t>Knockout gravity (°P)</t>
  </si>
  <si>
    <t>Beer to bright tank (hL)</t>
  </si>
  <si>
    <t>Beer packaged (hL)</t>
  </si>
  <si>
    <t>Dumped (hL)</t>
  </si>
  <si>
    <t>Power (kWh)</t>
  </si>
  <si>
    <t>Steam or fuel (MJ)</t>
  </si>
  <si>
    <t>Water (hL)</t>
  </si>
  <si>
    <t>Brewhouse yield</t>
  </si>
  <si>
    <t>Wort to pack loss</t>
  </si>
  <si>
    <t>kWh per hL</t>
  </si>
  <si>
    <t>MJ per hL</t>
  </si>
  <si>
    <t>Water to beer (hL/hL)</t>
  </si>
  <si>
    <t>Average</t>
  </si>
  <si>
    <t>Brewhouse yield = extract in knockout wort (kg) / extract charged (kg). Extract in wort = litres x SG x °P / 100, with SG from °P by the ASBC approximation SG = 1 + P / (258.6 - (P / 258.2) x 227.1). Charged extract = grist kg x average extract as-is from the Profile sheet. Wort to pack loss compares packaged beer with knockout wort volume; it includes trub, yeast, filtration and packaging losses.</t>
  </si>
  <si>
    <t>What it could be worth</t>
  </si>
  <si>
    <t>The five formulas Beer365 uses, fed by your figures. Change any yellow assumption to your own view.</t>
  </si>
  <si>
    <t>Assumption</t>
  </si>
  <si>
    <t>Value</t>
  </si>
  <si>
    <t>Basis</t>
  </si>
  <si>
    <t>Points of beer loss recovered</t>
  </si>
  <si>
    <t>Breweries without a stage view commonly lose several percent between brewhouse and pack; we assume one point.</t>
  </si>
  <si>
    <t>Points of brewhouse efficiency gained</t>
  </si>
  <si>
    <t>Comparing every brew with the malt's lab value typically moves efficiency by a point or more.</t>
  </si>
  <si>
    <t>Share of energy saved</t>
  </si>
  <si>
    <t>Tracking power and steam by area against your best day typically trims a few percent.</t>
  </si>
  <si>
    <t>Share of volume no longer dumped</t>
  </si>
  <si>
    <t>Catching fermentation drift early saves the occasional batch.</t>
  </si>
  <si>
    <t>Share of manual reporting time automated</t>
  </si>
  <si>
    <t>Daily, weekly and month-end packs built from the record instead of by hand.</t>
  </si>
  <si>
    <t>Saving</t>
  </si>
  <si>
    <t>A year</t>
  </si>
  <si>
    <t>Formula</t>
  </si>
  <si>
    <t>Beer loss</t>
  </si>
  <si>
    <t>hL a year x points of loss recovered x brewing cost per hL</t>
  </si>
  <si>
    <t>Extract</t>
  </si>
  <si>
    <t>malt spend a year x points gained / efficiency today</t>
  </si>
  <si>
    <t>Energy</t>
  </si>
  <si>
    <t>hL a year x energy cost per hL x share saved</t>
  </si>
  <si>
    <t>Dumped batches</t>
  </si>
  <si>
    <t>hL a year x share no longer dumped x brewing cost per hL</t>
  </si>
  <si>
    <t>Reporting</t>
  </si>
  <si>
    <t>hours a week x 52 x cost per hour x share automated</t>
  </si>
  <si>
    <t>Total a year</t>
  </si>
  <si>
    <t>Year one (half, while the system goes live)</t>
  </si>
  <si>
    <t>Three years</t>
  </si>
  <si>
    <t>A planning figure from your own inputs, not a promise. We do not count lost sales in sold-out months, faster complaint answers, smaller recalls, water, or packaging on beer no longer lost. In the assessment the real starting point is measured from your records and signed by your plant controller; only savings counted against that baseline are ever claimed.</t>
  </si>
  <si>
    <t>The 221 questions</t>
  </si>
  <si>
    <t>Score each: how much it matters to you (0 to 3) and whether you have the data today (0 to 3). Priority = matters x data.</t>
  </si>
  <si>
    <t>ID</t>
  </si>
  <si>
    <t>Question</t>
  </si>
  <si>
    <t>Use case</t>
  </si>
  <si>
    <t>Build wave</t>
  </si>
  <si>
    <t>Matters 0 to 3</t>
  </si>
  <si>
    <t>Data 0 to 3</t>
  </si>
  <si>
    <t>Priority</t>
  </si>
  <si>
    <t>Did this malt lot cost me extract?</t>
  </si>
  <si>
    <t>Malt lot to brewhouse performance</t>
  </si>
  <si>
    <t>First wave</t>
  </si>
  <si>
    <t>Is the supplier's certificate telling the truth?</t>
  </si>
  <si>
    <t>COA versus reality</t>
  </si>
  <si>
    <t>What bitterness am I actually buying by the time I use it?</t>
  </si>
  <si>
    <t>Hop alpha decay tracking</t>
  </si>
  <si>
    <t>Which supplier is quietly the expensive one?</t>
  </si>
  <si>
    <t>Supplier scorecard by lot</t>
  </si>
  <si>
    <t>Am I over contracted on a hop I no longer sell?</t>
  </si>
  <si>
    <t>Contract and purchase timing</t>
  </si>
  <si>
    <t>Can rice or syrup replace malt without breaking spec?</t>
  </si>
  <si>
    <t>Adjunct substitution feasibility</t>
  </si>
  <si>
    <t>Has my liquor changed under me this season?</t>
  </si>
  <si>
    <t>Water source seasonal shift</t>
  </si>
  <si>
    <t>Second wave</t>
  </si>
  <si>
    <t>Do these cans or crowns leak more than the last lot?</t>
  </si>
  <si>
    <t>Packaging material lot to defect</t>
  </si>
  <si>
    <t>What is sitting in goods-in that I cannot use?</t>
  </si>
  <si>
    <t>Quarantine and expiry exposure</t>
  </si>
  <si>
    <t>What does a hectolitre cost me before I even brew it?</t>
  </si>
  <si>
    <t>Landed raw material cost per hL</t>
  </si>
  <si>
    <t>Will the 200 L trial behave the same at 200 hL?</t>
  </si>
  <si>
    <t>Pilot to production scale up</t>
  </si>
  <si>
    <t>What does this beer cost me today, not last quarter?</t>
  </si>
  <si>
    <t>Live cost to brew per recipe</t>
  </si>
  <si>
    <t>Can I hit the same spec for less money?</t>
  </si>
  <si>
    <t>Least cost reformulation</t>
  </si>
  <si>
    <t>What is the honest tolerance band for this brand?</t>
  </si>
  <si>
    <t>Spec conformance envelope</t>
  </si>
  <si>
    <t>Which new beer is worth tank days?</t>
  </si>
  <si>
    <t>NPD shortlisting from market signal</t>
  </si>
  <si>
    <t>Does this land inside the style it claims?</t>
  </si>
  <si>
    <t>Style fit check</t>
  </si>
  <si>
    <t>Who changed the recipe and did quality move?</t>
  </si>
  <si>
    <t>Recipe version control and change audit</t>
  </si>
  <si>
    <t>The hop did not arrive, what do I brew instead?</t>
  </si>
  <si>
    <t>Substitution engine</t>
  </si>
  <si>
    <t>What will this be before I light the kettle?</t>
  </si>
  <si>
    <t>Predicted colour, bitterness, ABV</t>
  </si>
  <si>
    <t>What will a recipe change taste like?</t>
  </si>
  <si>
    <t>Sensory outcome prediction</t>
  </si>
  <si>
    <t>Later</t>
  </si>
  <si>
    <t>Am I getting the extract I paid for?</t>
  </si>
  <si>
    <t>Brewhouse yield per brew and trend</t>
  </si>
  <si>
    <t>Where exactly are the litres going?</t>
  </si>
  <si>
    <t>Extract loss decomposition</t>
  </si>
  <si>
    <t>Is the mill quietly costing me a percent?</t>
  </si>
  <si>
    <t>Mill gap drift</t>
  </si>
  <si>
    <t>Is my mash chemistry where I think it is?</t>
  </si>
  <si>
    <t>Mash pH and residual alkalinity</t>
  </si>
  <si>
    <t>Did the mash finish, or did I lauter early?</t>
  </si>
  <si>
    <t>Mash conversion completeness</t>
  </si>
  <si>
    <t>Will this lauter run slow before it does?</t>
  </si>
  <si>
    <t>Stuck mash and run-off anomaly</t>
  </si>
  <si>
    <t>Am I stopping too early or dragging tannins in?</t>
  </si>
  <si>
    <t>Sparge endpoint optimisation</t>
  </si>
  <si>
    <t>Is my gravity control drifting by brand?</t>
  </si>
  <si>
    <t>Kettle full and cast gravity control</t>
  </si>
  <si>
    <t>Am I boiling money away?</t>
  </si>
  <si>
    <t>Evaporation rate and boil energy</t>
  </si>
  <si>
    <t>Is my bitterness landing where the model says?</t>
  </si>
  <si>
    <t>Hop utilisation, actual versus model</t>
  </si>
  <si>
    <t>What do those knock-out losses cost a year?</t>
  </si>
  <si>
    <t>Whirlpool and trub loss in money</t>
  </si>
  <si>
    <t>Is every brew pitched the same way?</t>
  </si>
  <si>
    <t>Cooling profile and pitch temperature</t>
  </si>
  <si>
    <t>How many brews can this house really do?</t>
  </si>
  <si>
    <t>Brew cycle time and turns per day</t>
  </si>
  <si>
    <t>How consistent is this brand, in one number?</t>
  </si>
  <si>
    <t>Batch to batch consistency index</t>
  </si>
  <si>
    <t>Is this tank following the plan written for it?</t>
  </si>
  <si>
    <t>Fermentation curve versus its own plan</t>
  </si>
  <si>
    <t>Did anyone cut the rest short to free a tank?</t>
  </si>
  <si>
    <t>Diacetyl rest enforcement</t>
  </si>
  <si>
    <t>Will this finish, and when?</t>
  </si>
  <si>
    <t>Attenuation forecast and stuck warning</t>
  </si>
  <si>
    <t>Am I pitching the same yeast dose every time?</t>
  </si>
  <si>
    <t>Pitch rate and viability control</t>
  </si>
  <si>
    <t>When should this yeast line be dropped?</t>
  </si>
  <si>
    <t>Generation performance decay</t>
  </si>
  <si>
    <t>Do I have healthy yeast for tomorrow's brew?</t>
  </si>
  <si>
    <t>Harvest timing and slurry inventory</t>
  </si>
  <si>
    <t>Are the cellar ramps being followed?</t>
  </si>
  <si>
    <t>Free rise and ramp adherence</t>
  </si>
  <si>
    <t>Will this tank throw esters or fusels?</t>
  </si>
  <si>
    <t>Temperature excursion and flavour risk</t>
  </si>
  <si>
    <t>Is my dry hop adding unplanned fermentation?</t>
  </si>
  <si>
    <t>Dry hop timing and hop creep</t>
  </si>
  <si>
    <t>What is my real bottleneck, litres or tank days?</t>
  </si>
  <si>
    <t>Tank days and cellar capacity</t>
  </si>
  <si>
    <t>If FV-06 goes down, what breaks?</t>
  </si>
  <si>
    <t>Vessel out of service simulation</t>
  </si>
  <si>
    <t>Am I holding beer longer than it needs?</t>
  </si>
  <si>
    <t>Maturation time versus quality</t>
  </si>
  <si>
    <t>How much beer dies in cones, heels and transfers?</t>
  </si>
  <si>
    <t>Cellar beer loss</t>
  </si>
  <si>
    <t>Was it actually clean, and what did it cost?</t>
  </si>
  <si>
    <t>CIP verification and cost per vessel</t>
  </si>
  <si>
    <t>What will VDK and sulphur be at release?</t>
  </si>
  <si>
    <t>Predicted release chemistry</t>
  </si>
  <si>
    <t>Which schedule hits the sales dates?</t>
  </si>
  <si>
    <t>Cross-brand tank scheduling</t>
  </si>
  <si>
    <t>What does clarity cost me?</t>
  </si>
  <si>
    <t>Filter run length and cost per hL</t>
  </si>
  <si>
    <t>Where is beer lost across the filter?</t>
  </si>
  <si>
    <t>Filtration loss and turbidity</t>
  </si>
  <si>
    <t>What blend hits spec at the lowest risk?</t>
  </si>
  <si>
    <t>Blend composition optimiser</t>
  </si>
  <si>
    <t>If one brew is bad, how much beer is affected?</t>
  </si>
  <si>
    <t>Blend exposure calculation</t>
  </si>
  <si>
    <t>Am I overshooting carbonation and CO2 spend?</t>
  </si>
  <si>
    <t>Carbonation and CO2 per hL</t>
  </si>
  <si>
    <t>Will this beer go hazy in the trade?</t>
  </si>
  <si>
    <t>Colloidal stability and haze prediction</t>
  </si>
  <si>
    <t>How long has bright beer been waiting to be filled?</t>
  </si>
  <si>
    <t>BBT residence clock</t>
  </si>
  <si>
    <t>Release, hold, blend away or dump?</t>
  </si>
  <si>
    <t>Release decision support</t>
  </si>
  <si>
    <t>Where is packaging time actually going?</t>
  </si>
  <si>
    <t>Line OEE by line, shift and SKU</t>
  </si>
  <si>
    <t>What does a small SKU run really cost?</t>
  </si>
  <si>
    <t>Changeover cost and short runs</t>
  </si>
  <si>
    <t>Am I packaging shelf life away?</t>
  </si>
  <si>
    <t>TPO and dissolved oxygen monitoring</t>
  </si>
  <si>
    <t>How many free millilitres am I donating?</t>
  </si>
  <si>
    <t>Fill level and give-away</t>
  </si>
  <si>
    <t>Are my seams drifting before they fail?</t>
  </si>
  <si>
    <t>Seam and closure integrity trend</t>
  </si>
  <si>
    <t>Which head is causing this?</t>
  </si>
  <si>
    <t>Filler head defect attribution</t>
  </si>
  <si>
    <t>Can I resolve any date code to a tank?</t>
  </si>
  <si>
    <t>Date code and traceability completeness</t>
  </si>
  <si>
    <t>Is what is printed legally correct for that market?</t>
  </si>
  <si>
    <t>Label and artwork compliance</t>
  </si>
  <si>
    <t>What is scrap costing per thousand cans?</t>
  </si>
  <si>
    <t>Packaging material scrap</t>
  </si>
  <si>
    <t>Did every pack get its PUs?</t>
  </si>
  <si>
    <t>Pasteurisation units delivered</t>
  </si>
  <si>
    <t>What are the five faults that eat my week?</t>
  </si>
  <si>
    <t>Downtime root cause clustering</t>
  </si>
  <si>
    <t>Where are my kegs and how many did I lose?</t>
  </si>
  <si>
    <t>Keg fleet turns and loss</t>
  </si>
  <si>
    <t>Which pallets should ship first, and to where?</t>
  </si>
  <si>
    <t>Short shelf life stock detection</t>
  </si>
  <si>
    <t>What is the cheapest order to pack this week?</t>
  </si>
  <si>
    <t>Run scheduling for changeover and CO2</t>
  </si>
  <si>
    <t>Which area burns the energy?</t>
  </si>
  <si>
    <t>Energy per hL by area</t>
  </si>
  <si>
    <t>Is the ammonia plant getting worse?</t>
  </si>
  <si>
    <t>Refrigeration plant efficiency</t>
  </si>
  <si>
    <t>What is a tonne of steam really costing?</t>
  </si>
  <si>
    <t>Boiler and steam efficiency</t>
  </si>
  <si>
    <t>Should I recover more CO2 than I buy?</t>
  </si>
  <si>
    <t>CO2 recovery versus purchase</t>
  </si>
  <si>
    <t>What is the compressor doing at 3am with nothing running?</t>
  </si>
  <si>
    <t>Compressed air leak detection</t>
  </si>
  <si>
    <t>Can I move load off peak tariff?</t>
  </si>
  <si>
    <t>Peak demand and tariff shaping</t>
  </si>
  <si>
    <t>Which pump fails next?</t>
  </si>
  <si>
    <t>Predictive maintenance on rotating kit</t>
  </si>
  <si>
    <t>Which cooling jacket is about to leak?</t>
  </si>
  <si>
    <t>Jacket and valve failure early warning</t>
  </si>
  <si>
    <t>What single spare stops the brewery?</t>
  </si>
  <si>
    <t>Critical spares exposure</t>
  </si>
  <si>
    <t>When can I take this tank down for free?</t>
  </si>
  <si>
    <t>Maintenance versus production conflict</t>
  </si>
  <si>
    <t>Where does my water ratio actually go wrong?</t>
  </si>
  <si>
    <t>Water to beer ratio by area</t>
  </si>
  <si>
    <t>Which CIP or hose is the leak?</t>
  </si>
  <si>
    <t>Water loss hotspot mapping</t>
  </si>
  <si>
    <t>What is my effluent bill made of?</t>
  </si>
  <si>
    <t>Effluent load and treatment cost</t>
  </si>
  <si>
    <t>Am I giving away a sellable by-product?</t>
  </si>
  <si>
    <t>Spent grain, trub and yeast value</t>
  </si>
  <si>
    <t>Am I over-dosing caustic?</t>
  </si>
  <si>
    <t>Chemical use per CIP cycle</t>
  </si>
  <si>
    <t>Am I inside consent, and can I prove it?</t>
  </si>
  <si>
    <t>Discharge consent compliance</t>
  </si>
  <si>
    <t>Which spec line fails most, and on what?</t>
  </si>
  <si>
    <t>Conformance by parameter and brand</t>
  </si>
  <si>
    <t>Which failed test was never re-run?</t>
  </si>
  <si>
    <t>Out of spec closure tracking</t>
  </si>
  <si>
    <t>Is my sensory panel still calibrated?</t>
  </si>
  <si>
    <t>Panel drift and taster performance</t>
  </si>
  <si>
    <t>Does the panel agree with the lab?</t>
  </si>
  <si>
    <t>Panel to instrument correlation</t>
  </si>
  <si>
    <t>Where does the plant get dirty first?</t>
  </si>
  <si>
    <t>Micro trend by sample point</t>
  </si>
  <si>
    <t>How long does this beer really last?</t>
  </si>
  <si>
    <t>Shelf life prediction</t>
  </si>
  <si>
    <t>Fetch me every retain that matches this defect</t>
  </si>
  <si>
    <t>Retain retrieval and comparison</t>
  </si>
  <si>
    <t>Is the lab the release bottleneck?</t>
  </si>
  <si>
    <t>Lab throughput and turnaround</t>
  </si>
  <si>
    <t>Are the instruments in calibration?</t>
  </si>
  <si>
    <t>Method and calibration compliance</t>
  </si>
  <si>
    <t>What is drifting towards a failure?</t>
  </si>
  <si>
    <t>Near-miss parameter trending</t>
  </si>
  <si>
    <t>What does this complaint most likely mean?</t>
  </si>
  <si>
    <t>Off flavour library and matching</t>
  </si>
  <si>
    <t>How risky is releasing this batch?</t>
  </si>
  <si>
    <t>Batch release risk score</t>
  </si>
  <si>
    <t>Which beer is this complaint about?</t>
  </si>
  <si>
    <t>Date code to batch resolution</t>
  </si>
  <si>
    <t>What caused it, and what did not?</t>
  </si>
  <si>
    <t>Root cause copilot with refutation</t>
  </si>
  <si>
    <t>How many hectolitres are affected?</t>
  </si>
  <si>
    <t>Exposure calculation</t>
  </si>
  <si>
    <t>If I withdraw, what am I withdrawing?</t>
  </si>
  <si>
    <t>Recall scoping simulation</t>
  </si>
  <si>
    <t>What are we changing so it cannot repeat?</t>
  </si>
  <si>
    <t>CAPA generation and closure</t>
  </si>
  <si>
    <t>Is quality getting better or worse, honestly?</t>
  </si>
  <si>
    <t>Complaint rate per million litres</t>
  </si>
  <si>
    <t>What can this data never tell me?</t>
  </si>
  <si>
    <t>Cannot be assessed reporting</t>
  </si>
  <si>
    <t>Is this a beer problem or a cellar problem?</t>
  </si>
  <si>
    <t>Trade versus consumer complaint split</t>
  </si>
  <si>
    <t>Have I seen this defect before and forgotten?</t>
  </si>
  <si>
    <t>Repeat defect detection</t>
  </si>
  <si>
    <t>Can I hand an auditor the whole chain in an hour?</t>
  </si>
  <si>
    <t>Audit and regulator pack</t>
  </si>
  <si>
    <t>Am I shipping the oldest beer first?</t>
  </si>
  <si>
    <t>FEFO adherence and stock ageing</t>
  </si>
  <si>
    <t>How old is my beer when someone drinks it?</t>
  </si>
  <si>
    <t>Days of freshness at point of sale</t>
  </si>
  <si>
    <t>Did this pallet get cooked in transit?</t>
  </si>
  <si>
    <t>Cold chain excursion tracking</t>
  </si>
  <si>
    <t>What is really selling versus what I shipped?</t>
  </si>
  <si>
    <t>Distributor stock and depletion</t>
  </si>
  <si>
    <t>Am I paying to move air?</t>
  </si>
  <si>
    <t>Route and load optimisation</t>
  </si>
  <si>
    <t>What comes back and why?</t>
  </si>
  <si>
    <t>Returns and breakage analysis</t>
  </si>
  <si>
    <t>How long is a keg out of circulation?</t>
  </si>
  <si>
    <t>Empties and keg return cycle</t>
  </si>
  <si>
    <t>Where will I run out next month?</t>
  </si>
  <si>
    <t>Stock cover versus forecast</t>
  </si>
  <si>
    <t>How much of what, and when?</t>
  </si>
  <si>
    <t>Demand forecast by SKU and channel</t>
  </si>
  <si>
    <t>Which channel actually pays?</t>
  </si>
  <si>
    <t>Revenue per hectolitre by channel</t>
  </si>
  <si>
    <t>What is the taproom really selling?</t>
  </si>
  <si>
    <t>Taproom mix and pour analysis</t>
  </si>
  <si>
    <t>Is my beer being poured badly out there?</t>
  </si>
  <si>
    <t>Draught quality at the outlet</t>
  </si>
  <si>
    <t>Which accounts are about to stop ordering?</t>
  </si>
  <si>
    <t>Outlet performance and churn risk</t>
  </si>
  <si>
    <t>Which distributor is working and which is coasting?</t>
  </si>
  <si>
    <t>Distributor scorecard</t>
  </si>
  <si>
    <t>Is my pack ladder coherent or accidental?</t>
  </si>
  <si>
    <t>Price pack architecture</t>
  </si>
  <si>
    <t>Did that promo make money or move it?</t>
  </si>
  <si>
    <t>Promotion lift and true incrementality</t>
  </si>
  <si>
    <t>Where should the next rep visit?</t>
  </si>
  <si>
    <t>Whitespace outlet targeting</t>
  </si>
  <si>
    <t>Which big customer is a loss leader?</t>
  </si>
  <si>
    <t>Key account profitability</t>
  </si>
  <si>
    <t>Does the brew plan match what sales promised?</t>
  </si>
  <si>
    <t>Forecast to tank plan handshake</t>
  </si>
  <si>
    <t>What did running out cost me?</t>
  </si>
  <si>
    <t>Stock out and lost sales</t>
  </si>
  <si>
    <t>What is the market drinking next?</t>
  </si>
  <si>
    <t>Style and flavour trend tracking</t>
  </si>
  <si>
    <t>Where does this brand actually work?</t>
  </si>
  <si>
    <t>Regional demand mapping</t>
  </si>
  <si>
    <t>Did the campaign move beer?</t>
  </si>
  <si>
    <t>Campaign to depletion attribution</t>
  </si>
  <si>
    <t>What do drinkers say when I am not listening?</t>
  </si>
  <si>
    <t>Brand health from reviews</t>
  </si>
  <si>
    <t>What are complaints telling marketing?</t>
  </si>
  <si>
    <t>Complaint text as product signal</t>
  </si>
  <si>
    <t>Who launched what, and did it land?</t>
  </si>
  <si>
    <t>Competitive launch tracking</t>
  </si>
  <si>
    <t>When should each brand shout?</t>
  </si>
  <si>
    <t>Seasonality aligned calendar</t>
  </si>
  <si>
    <t>Which events are worth repeating?</t>
  </si>
  <si>
    <t>Taproom event return</t>
  </si>
  <si>
    <t>Who comes back, and for what?</t>
  </si>
  <si>
    <t>Loyalty and repeat purchase</t>
  </si>
  <si>
    <t>Does the concept survive contact with a till?</t>
  </si>
  <si>
    <t>Concept testing against real sales</t>
  </si>
  <si>
    <t>What does each beer cost, honestly?</t>
  </si>
  <si>
    <t>True COGS per hL by brand and pack</t>
  </si>
  <si>
    <t>What are my losses worth in a year?</t>
  </si>
  <si>
    <t>Yield loss in money, tank to trade</t>
  </si>
  <si>
    <t>Which margin slipped this month, and why?</t>
  </si>
  <si>
    <t>Margin variance alerting</t>
  </si>
  <si>
    <t>Is my duty calculation defensible?</t>
  </si>
  <si>
    <t>Excise and duty reconciliation</t>
  </si>
  <si>
    <t>Is the contract work paying for its tank days?</t>
  </si>
  <si>
    <t>Contract brewing profitability</t>
  </si>
  <si>
    <t>Which tank or machine actually unlocks money?</t>
  </si>
  <si>
    <t>Capex justification from the real constraint</t>
  </si>
  <si>
    <t>What is a tank day worth to me?</t>
  </si>
  <si>
    <t>Cash tied to tank days</t>
  </si>
  <si>
    <t>Where does actual drift from standard?</t>
  </si>
  <si>
    <t>Standard versus actual cost variance</t>
  </si>
  <si>
    <t>What if malt or power rises 20 percent?</t>
  </si>
  <si>
    <t>Shock scenario simulation</t>
  </si>
  <si>
    <t>How much money is sitting in tanks?</t>
  </si>
  <si>
    <t>Working capital in maturing stock</t>
  </si>
  <si>
    <t>Is my small brand carrying its share?</t>
  </si>
  <si>
    <t>Overhead absorption per brew</t>
  </si>
  <si>
    <t>Can the monthly pack build itself?</t>
  </si>
  <si>
    <t>Board pack automation</t>
  </si>
  <si>
    <t>What is a hectolitre's footprint?</t>
  </si>
  <si>
    <t>Carbon per hL, scopes 1, 2 and 3</t>
  </si>
  <si>
    <t>Am I on track against the water target?</t>
  </si>
  <si>
    <t>Water ratio target tracking</t>
  </si>
  <si>
    <t>Where does the waste actually go?</t>
  </si>
  <si>
    <t>Waste diversion from landfill</t>
  </si>
  <si>
    <t>Is every asset compliant in every market?</t>
  </si>
  <si>
    <t>Responsible marketing compliance</t>
  </si>
  <si>
    <t>Could I file a report tomorrow if asked?</t>
  </si>
  <si>
    <t>Reporting readiness</t>
  </si>
  <si>
    <t>What is upstream of me?</t>
  </si>
  <si>
    <t>Supplier ESG data collection</t>
  </si>
  <si>
    <t>What do I owe under packaging rules?</t>
  </si>
  <si>
    <t>Packaging recyclability and EPR</t>
  </si>
  <si>
    <t>Do incidents follow certain shifts or tasks?</t>
  </si>
  <si>
    <t>Safety incident correlation</t>
  </si>
  <si>
    <t>Do outcomes change by shift, and why?</t>
  </si>
  <si>
    <t>Shift to outcome variation</t>
  </si>
  <si>
    <t>What did the shift log already tell us?</t>
  </si>
  <si>
    <t>Handover and shift log mining</t>
  </si>
  <si>
    <t>Which task needs training, not blame?</t>
  </si>
  <si>
    <t>Training gap from error patterns</t>
  </si>
  <si>
    <t>What leaves when the head brewer leaves?</t>
  </si>
  <si>
    <t>Tribal knowledge capture</t>
  </si>
  <si>
    <t>Is the right person on the right shift?</t>
  </si>
  <si>
    <t>Skills matrix versus schedule</t>
  </si>
  <si>
    <t>How long until a new brewer performs?</t>
  </si>
  <si>
    <t>New starter ramp</t>
  </si>
  <si>
    <t>Across the whole brewery</t>
  </si>
  <si>
    <t>How do I compare with breweries my size?</t>
  </si>
  <si>
    <t>The Brewery Score</t>
  </si>
  <si>
    <t>Is my brewhouse yield normal or terrible?</t>
  </si>
  <si>
    <t>Anonymised process benchmarks</t>
  </si>
  <si>
    <t>What does the whole industry look like?</t>
  </si>
  <si>
    <t>State of Brewing Efficiency report</t>
  </si>
  <si>
    <t>Answer a brewer's question without SQL</t>
  </si>
  <si>
    <t>Ask the brewery in plain English</t>
  </si>
  <si>
    <t>What happened overnight that I should know?</t>
  </si>
  <si>
    <t>Automatic daily brief</t>
  </si>
  <si>
    <t>Do these four systems agree on time and batch?</t>
  </si>
  <si>
    <t>Clock and identity reconciliation</t>
  </si>
  <si>
    <t>What happens if I change this?</t>
  </si>
  <si>
    <t>What-if simulation on the twin</t>
  </si>
  <si>
    <t>How do I onboard the next brewery in a week?</t>
  </si>
  <si>
    <t>Vendor-neutral adaptors</t>
  </si>
  <si>
    <t>Is my wort feeding the yeast properly?</t>
  </si>
  <si>
    <t>FAN versus fermentation performance</t>
  </si>
  <si>
    <t>Which malt attribute actually predicts my yield?</t>
  </si>
  <si>
    <t>Malt spec envelope versus brewhouse output</t>
  </si>
  <si>
    <t>Is the cooker converting what I paid for?</t>
  </si>
  <si>
    <t>Adjunct cooker and gelatinisation performance</t>
  </si>
  <si>
    <t>Does predicted colour match measured?</t>
  </si>
  <si>
    <t>Speciality malt colour contribution</t>
  </si>
  <si>
    <t>Cone, pellet, extract or isomerised, which is cheapest per IBU delivered?</t>
  </si>
  <si>
    <t>Hop product form economics</t>
  </si>
  <si>
    <t>What does correcting my liquor cost per hL?</t>
  </si>
  <si>
    <t>Water treatment cost and ion balance</t>
  </si>
  <si>
    <t>Is the mill setting costing me lauter time or extract?</t>
  </si>
  <si>
    <t>Grist fineness versus run-off</t>
  </si>
  <si>
    <t>Is my foam getting worse, and from where?</t>
  </si>
  <si>
    <t>Foam and head retention tracking</t>
  </si>
  <si>
    <t>Chill haze, permanent haze or an infection?</t>
  </si>
  <si>
    <t>Haze type discrimination</t>
  </si>
  <si>
    <t>Is colour drifting by brand and season?</t>
  </si>
  <si>
    <t>Colour control versus target</t>
  </si>
  <si>
    <t>Will this malt lot make the beer erupt?</t>
  </si>
  <si>
    <t>Gushing risk from raw material</t>
  </si>
  <si>
    <t>How fast does this beer go stale?</t>
  </si>
  <si>
    <t>Flavour stability and staling prediction</t>
  </si>
  <si>
    <t>Is this compound above threshold in this beer?</t>
  </si>
  <si>
    <t>Flavour unit and threshold library</t>
  </si>
  <si>
    <t>Is my CO2 clean enough to put in beer?</t>
  </si>
  <si>
    <t>Gas purity monitoring</t>
  </si>
  <si>
    <t>Am I wasting CO2 to hit the same volumes?</t>
  </si>
  <si>
    <t>Carbonation dissolution efficiency</t>
  </si>
  <si>
    <t>Is nitrogen use matched to the dispense need?</t>
  </si>
  <si>
    <t>Nitrogen and mixed gas use</t>
  </si>
  <si>
    <t>How much of my fermentation CO2 am I actually catching?</t>
  </si>
  <si>
    <t>CO2 recovery yield versus potential</t>
  </si>
  <si>
    <t>Which pump is throttled and burning power?</t>
  </si>
  <si>
    <t>Pump duty versus system curve</t>
  </si>
  <si>
    <t>Why does this transfer take so long?</t>
  </si>
  <si>
    <t>Pressure drop and transfer line sizing</t>
  </si>
  <si>
    <t>Could product and CIP meet where they must not?</t>
  </si>
  <si>
    <t>Mix-proof valve integrity</t>
  </si>
  <si>
    <t>Is the transfer itself oxidising the beer?</t>
  </si>
  <si>
    <t>Transfer velocity and oxygen pickup</t>
  </si>
  <si>
    <t>Is the wort cooler fouling up?</t>
  </si>
  <si>
    <t>PHE approach temperature and fouling</t>
  </si>
  <si>
    <t>Can the cellar cool everything I plan to brew?</t>
  </si>
  <si>
    <t>Jacketed vessel cooling capacity</t>
  </si>
  <si>
    <t>What am I losing while nothing runs?</t>
  </si>
  <si>
    <t>Insulation and standing loss survey</t>
  </si>
  <si>
    <t>Which traps are blowing through?</t>
  </si>
  <si>
    <t>Steam trap failure detection</t>
  </si>
  <si>
    <t>Is the refrigeration plant degrading?</t>
  </si>
  <si>
    <t>Compressor COP tracking</t>
  </si>
  <si>
    <t>Where will chloride or pitting bite me first?</t>
  </si>
  <si>
    <t>Corrosion risk register by duty</t>
  </si>
  <si>
    <t>Is the plant actually cleanable where it matters?</t>
  </si>
  <si>
    <t>Weld and surface finish verification</t>
  </si>
  <si>
    <t>Which loops are hunting, oscillating or in manual?</t>
  </si>
  <si>
    <t>Control loop performance audit</t>
  </si>
  <si>
    <t>Which instrument is lying to me?</t>
  </si>
  <si>
    <t>Sensor drift and calibration intervals</t>
  </si>
  <si>
    <t>How many alarms does an operator ignore per shift?</t>
  </si>
  <si>
    <t>Alarm rationalisation</t>
  </si>
  <si>
    <t>Did the CIP or brew sequence actually complete?</t>
  </si>
  <si>
    <t>Sequence and phase adherence</t>
  </si>
  <si>
    <t>Which valve is sticking before it fails?</t>
  </si>
  <si>
    <t>Control valve and actuator health</t>
  </si>
  <si>
    <t>Is every critical control point actually being monitored?</t>
  </si>
  <si>
    <t>HACCP plan versus actual CCP records</t>
  </si>
  <si>
    <t>Which deviation was never closed out?</t>
  </si>
  <si>
    <t>CCP deviation and corrective action closure</t>
  </si>
  <si>
    <t>Where does the plant fail a GMP walk?</t>
  </si>
  <si>
    <t>GMP assessment scoring</t>
  </si>
  <si>
    <t>Could I defend this batch in court?</t>
  </si>
  <si>
    <t>Due diligence evidence pack</t>
  </si>
  <si>
    <t>Physical, chemical or microbiological, which is my pattern?</t>
  </si>
  <si>
    <t>Contamination class tracking</t>
  </si>
  <si>
    <t>Is glass and hard plastic control working?</t>
  </si>
  <si>
    <t>Foreign body control</t>
  </si>
  <si>
    <t>Where could someone interfere with product?</t>
  </si>
  <si>
    <t>Product security and tamper exposure</t>
  </si>
  <si>
    <t>Is every label legally correct for its market?</t>
  </si>
  <si>
    <t>Allergen and declaration control</t>
  </si>
  <si>
    <t>Where are the dead legs and undrainable runs?</t>
  </si>
  <si>
    <t>Hygienic design deviation register</t>
  </si>
  <si>
    <t>Was it cleaned, or just rinsed on schedule?</t>
  </si>
  <si>
    <t>CIP validation by measurement</t>
  </si>
  <si>
    <t>Is the vessel wall still what the certificate says?</t>
  </si>
  <si>
    <t>Surface and NDT inspection records</t>
  </si>
  <si>
    <t>Can I clean it with less caustic, heat or time?</t>
  </si>
  <si>
    <t>Cleaning chemistry optimisation</t>
  </si>
  <si>
    <t>Did every filter pass its integrity test?</t>
  </si>
  <si>
    <t>Sterile filtration integrity tracking</t>
  </si>
  <si>
    <t>Did the coldest pack in the tunnel get enough?</t>
  </si>
  <si>
    <t>PU distribution across the pack</t>
  </si>
  <si>
    <t>Readiness summary</t>
  </si>
  <si>
    <t>Worked out from the other sheets. Nothing to fill in here.</t>
  </si>
  <si>
    <t>Measure</t>
  </si>
  <si>
    <t>Result</t>
  </si>
  <si>
    <t>What it means</t>
  </si>
  <si>
    <t>Records listed</t>
  </si>
  <si>
    <t>Records you have answered</t>
  </si>
  <si>
    <t>Records kept somewhere</t>
  </si>
  <si>
    <t>Records on paper</t>
  </si>
  <si>
    <t>Paper records are fine; they are keyed in during the first two weeks.</t>
  </si>
  <si>
    <t>Records score</t>
  </si>
  <si>
    <t>Average ready score of the records you answered.</t>
  </si>
  <si>
    <t>Meters fitted</t>
  </si>
  <si>
    <t>Meters calibrated in the last 12 months</t>
  </si>
  <si>
    <t>Meters score</t>
  </si>
  <si>
    <t>Share of fitted meters that are in calibration.</t>
  </si>
  <si>
    <t>Baseline months entered</t>
  </si>
  <si>
    <t>Three months is enough to start; twelve shows seasonality.</t>
  </si>
  <si>
    <t>Baseline score</t>
  </si>
  <si>
    <t>Questions scored</t>
  </si>
  <si>
    <t>Questions with priority 6 or more</t>
  </si>
  <si>
    <t>These are where the first modules should start.</t>
  </si>
  <si>
    <t>Planning saving a year</t>
  </si>
  <si>
    <t>In the currency on the Profile sheet.</t>
  </si>
  <si>
    <t>Overall readiness</t>
  </si>
  <si>
    <t>Half records, a fifth meters, the rest baseline.</t>
  </si>
  <si>
    <t>Verdict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</si>
</sst>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 mmm\ yyyy"/>
    <numFmt numFmtId="166" formatCode="mmm\ yyyy"/>
    <numFmt numFmtId="167" formatCode="0.0"/>
  </numFmts>
  <fonts count="11" x14ac:knownFonts="1">
    <font>
      <sz val="11"/>
      <color theme="1"/>
      <name val="Calibri"/>
      <family val="2"/>
      <scheme val="minor"/>
    </font>
    <font>
      <b/>
      <sz val="22"/>
      <color rgb="FF0A0A0A"/>
      <name val="Arial"/>
      <family val="2"/>
    </font>
    <font>
      <i/>
      <sz val="9"/>
      <color rgb="FF6B6A63"/>
      <name val="Arial"/>
      <family val="2"/>
    </font>
    <font>
      <b/>
      <sz val="12"/>
      <color rgb="FF0A0A0A"/>
      <name val="Arial"/>
      <family val="2"/>
    </font>
    <font>
      <sz val="10"/>
      <color rgb="FF0A0A0A"/>
      <name val="Arial"/>
      <family val="2"/>
    </font>
    <font>
      <b/>
      <sz val="18"/>
      <color rgb="FF0A0A0A"/>
      <name val="Arial"/>
      <family val="2"/>
    </font>
    <font>
      <b/>
      <sz val="10"/>
      <color rgb="FFFFFFFF"/>
      <name val="Arial"/>
      <family val="2"/>
    </font>
    <font>
      <sz val="10"/>
      <color rgb="FF0000FF"/>
      <name val="Arial"/>
      <family val="2"/>
    </font>
    <font>
      <i/>
      <sz val="10"/>
      <color rgb="FF77756C"/>
      <name val="Arial"/>
      <family val="2"/>
    </font>
    <font>
      <b/>
      <sz val="10"/>
      <name val="Arial"/>
      <family val="2"/>
    </font>
    <font>
      <b/>
      <sz val="11"/>
      <name val="Arial"/>
      <family val="2"/>
    </font>
  </fonts>
  <fills count="5">
    <fill>
      <patternFill patternType="none"/>
    </fill>
    <fill>
      <patternFill patternType="gray125"/>
    </fill>
    <fill>
      <patternFill patternType="solid">
        <fgColor rgb="FF0A0A0A"/>
      </patternFill>
    </fill>
    <fill>
      <patternFill patternType="solid">
        <fgColor rgb="FFF5E003"/>
      </patternFill>
    </fill>
    <fill>
      <patternFill patternType="solid">
        <fgColor rgb="FFF6F4EC"/>
      </patternFill>
    </fill>
  </fills>
  <borders count="3">
    <border>
      <left/>
      <right/>
      <top/>
      <bottom/>
      <diagonal/>
    </border>
    <border>
      <left style="thin">
        <color rgb="FFDEDBD0"/>
      </left>
      <right style="thin">
        <color rgb="FFDEDBD0"/>
      </right>
      <top style="thin">
        <color rgb="FFDEDBD0"/>
      </top>
      <bottom style="thin">
        <color rgb="FFDEDBD0"/>
      </bottom>
      <diagonal/>
    </border>
    <border>
      <left/>
      <right style="thin">
        <color rgb="FFDEDBD0"/>
      </right>
      <top style="thin">
        <color rgb="FFDEDBD0"/>
      </top>
      <bottom style="thin">
        <color rgb="FFDEDBD0"/>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2" borderId="1" xfId="0" applyFont="1" applyFill="1" applyBorder="1" applyAlignment="1">
      <alignment vertical="center" wrapText="1"/>
    </xf>
    <xf numFmtId="0" fontId="4" fillId="0" borderId="1" xfId="0" applyFont="1" applyBorder="1" applyAlignment="1">
      <alignment vertical="top" wrapText="1"/>
    </xf>
    <xf numFmtId="49" fontId="7" fillId="3" borderId="1" xfId="0" applyNumberFormat="1" applyFont="1" applyFill="1" applyBorder="1"/>
    <xf numFmtId="49" fontId="8" fillId="0" borderId="1" xfId="0" applyNumberFormat="1" applyFont="1" applyBorder="1"/>
    <xf numFmtId="49" fontId="4" fillId="4" borderId="1" xfId="0" applyNumberFormat="1" applyFont="1" applyFill="1" applyBorder="1" applyAlignment="1">
      <alignment vertical="top" wrapText="1"/>
    </xf>
    <xf numFmtId="3" fontId="7" fillId="3" borderId="1" xfId="0" applyNumberFormat="1" applyFont="1" applyFill="1" applyBorder="1"/>
    <xf numFmtId="3" fontId="8" fillId="0" borderId="1" xfId="0" applyNumberFormat="1" applyFont="1" applyBorder="1"/>
    <xf numFmtId="3" fontId="4" fillId="4" borderId="1" xfId="0" applyNumberFormat="1" applyFont="1" applyFill="1" applyBorder="1" applyAlignment="1">
      <alignment vertical="top" wrapText="1"/>
    </xf>
    <xf numFmtId="4" fontId="7" fillId="3" borderId="1" xfId="0" applyNumberFormat="1" applyFont="1" applyFill="1" applyBorder="1"/>
    <xf numFmtId="4" fontId="8" fillId="0" borderId="1" xfId="0" applyNumberFormat="1" applyFont="1" applyBorder="1"/>
    <xf numFmtId="4" fontId="4" fillId="4" borderId="1" xfId="0" applyNumberFormat="1" applyFont="1" applyFill="1" applyBorder="1" applyAlignment="1">
      <alignment vertical="top" wrapText="1"/>
    </xf>
    <xf numFmtId="164" fontId="7" fillId="3" borderId="1" xfId="0" applyNumberFormat="1" applyFont="1" applyFill="1" applyBorder="1"/>
    <xf numFmtId="164" fontId="8" fillId="0" borderId="1" xfId="0" applyNumberFormat="1" applyFont="1" applyBorder="1"/>
    <xf numFmtId="164" fontId="4" fillId="4" borderId="1" xfId="0" applyNumberFormat="1" applyFont="1" applyFill="1" applyBorder="1" applyAlignment="1">
      <alignment vertical="top" wrapText="1"/>
    </xf>
    <xf numFmtId="0" fontId="7" fillId="3" borderId="1" xfId="0" applyFont="1" applyFill="1" applyBorder="1"/>
    <xf numFmtId="9" fontId="4" fillId="0" borderId="1" xfId="0" applyNumberFormat="1" applyFont="1" applyBorder="1" applyAlignment="1">
      <alignment vertical="top" wrapText="1"/>
    </xf>
    <xf numFmtId="0" fontId="8" fillId="0" borderId="0" xfId="0" applyFont="1"/>
    <xf numFmtId="165" fontId="7" fillId="3" borderId="1" xfId="0" applyNumberFormat="1" applyFont="1" applyFill="1" applyBorder="1"/>
    <xf numFmtId="0" fontId="8" fillId="3" borderId="1" xfId="0" applyFont="1" applyFill="1" applyBorder="1"/>
    <xf numFmtId="166" fontId="7" fillId="3" borderId="1" xfId="0" applyNumberFormat="1" applyFont="1" applyFill="1" applyBorder="1"/>
    <xf numFmtId="167" fontId="7" fillId="3" borderId="1" xfId="0" applyNumberFormat="1" applyFont="1" applyFill="1" applyBorder="1"/>
    <xf numFmtId="167" fontId="4" fillId="4" borderId="1" xfId="0" applyNumberFormat="1" applyFont="1" applyFill="1" applyBorder="1" applyAlignment="1">
      <alignment vertical="top" wrapText="1"/>
    </xf>
    <xf numFmtId="1" fontId="4" fillId="4" borderId="1" xfId="0" applyNumberFormat="1" applyFont="1" applyFill="1" applyBorder="1" applyAlignment="1">
      <alignment vertical="top" wrapText="1"/>
    </xf>
    <xf numFmtId="2" fontId="4" fillId="4" borderId="1" xfId="0" applyNumberFormat="1" applyFont="1" applyFill="1" applyBorder="1" applyAlignment="1">
      <alignment vertical="top" wrapText="1"/>
    </xf>
    <xf numFmtId="3" fontId="9" fillId="0" borderId="1" xfId="0" applyNumberFormat="1" applyFont="1" applyBorder="1" applyAlignment="1">
      <alignment vertical="top" wrapText="1"/>
    </xf>
    <xf numFmtId="167" fontId="9" fillId="0" borderId="1" xfId="0" applyNumberFormat="1" applyFont="1" applyBorder="1" applyAlignment="1">
      <alignment vertical="top" wrapText="1"/>
    </xf>
    <xf numFmtId="164" fontId="9" fillId="0" borderId="1" xfId="0" applyNumberFormat="1" applyFont="1" applyBorder="1" applyAlignment="1">
      <alignment vertical="top" wrapText="1"/>
    </xf>
    <xf numFmtId="1" fontId="9" fillId="0" borderId="1" xfId="0" applyNumberFormat="1" applyFont="1" applyBorder="1" applyAlignment="1">
      <alignment vertical="top" wrapText="1"/>
    </xf>
    <xf numFmtId="2" fontId="9" fillId="0" borderId="1" xfId="0" applyNumberFormat="1" applyFont="1" applyBorder="1" applyAlignment="1">
      <alignment vertical="top" wrapText="1"/>
    </xf>
    <xf numFmtId="9" fontId="7" fillId="3" borderId="1" xfId="0" applyNumberFormat="1" applyFont="1" applyFill="1" applyBorder="1"/>
    <xf numFmtId="3" fontId="4" fillId="0" borderId="1" xfId="0" applyNumberFormat="1" applyFont="1" applyBorder="1" applyAlignment="1">
      <alignment vertical="top" wrapText="1"/>
    </xf>
    <xf numFmtId="0" fontId="10" fillId="0" borderId="1" xfId="0" applyFont="1" applyBorder="1" applyAlignment="1">
      <alignment vertical="top" wrapText="1"/>
    </xf>
    <xf numFmtId="3" fontId="10" fillId="3"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2" fillId="0" borderId="0" xfId="0" applyFont="1" applyAlignment="1">
      <alignment vertical="top" wrapText="1"/>
    </xf>
    <xf numFmtId="0" fontId="0" fillId="0" borderId="0" xfId="0"/>
    <xf numFmtId="0" fontId="10" fillId="3" borderId="1" xfId="0" applyFont="1" applyFill="1" applyBorder="1" applyAlignment="1">
      <alignment vertical="top" wrapText="1"/>
    </xf>
    <xf numFmtId="0" fontId="0" fillId="0" borderId="2" xfId="0" applyBorder="1"/>
  </cellXfs>
  <cellStyles count="1">
    <cellStyle name="Normal" xfId="0" builtinId="0"/>
  </cellStyles>
  <dxfs count="2">
    <dxf>
      <font>
        <b/>
        <name val="Arial"/>
      </font>
      <fill>
        <patternFill patternType="solid">
          <fgColor rgb="FFF5E003"/>
        </patternFill>
      </fill>
    </dxf>
    <dxf>
      <font>
        <b/>
        <color rgb="FFB0002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0A0A"/>
  </sheetPr>
  <dimension ref="B2:C17"/>
  <sheetViews>
    <sheetView showGridLines="0" tabSelected="1" workbookViewId="0"/>
  </sheetViews>
  <sheetFormatPr baseColWidth="10" defaultColWidth="8.83203125" defaultRowHeight="15" x14ac:dyDescent="0.2"/>
  <cols>
    <col min="1" max="1" width="4" customWidth="1"/>
    <col min="2" max="2" width="28" customWidth="1"/>
    <col min="3" max="3" width="90" customWidth="1"/>
  </cols>
  <sheetData>
    <row r="2" spans="2:3" ht="28" x14ac:dyDescent="0.3">
      <c r="B2" s="1" t="s">
        <v>0</v>
      </c>
    </row>
    <row r="3" spans="2:3" x14ac:dyDescent="0.2">
      <c r="B3" s="2" t="s">
        <v>1</v>
      </c>
    </row>
    <row r="5" spans="2:3" ht="32" customHeight="1" x14ac:dyDescent="0.2">
      <c r="B5" s="3" t="s">
        <v>2</v>
      </c>
      <c r="C5" s="4" t="s">
        <v>3</v>
      </c>
    </row>
    <row r="6" spans="2:3" ht="18" customHeight="1" x14ac:dyDescent="0.2">
      <c r="B6" s="3" t="s">
        <v>4</v>
      </c>
      <c r="C6" s="4" t="s">
        <v>5</v>
      </c>
    </row>
    <row r="7" spans="2:3" ht="32" customHeight="1" x14ac:dyDescent="0.2">
      <c r="B7" s="3" t="s">
        <v>6</v>
      </c>
      <c r="C7" s="4" t="s">
        <v>7</v>
      </c>
    </row>
    <row r="8" spans="2:3" ht="18" customHeight="1" x14ac:dyDescent="0.2">
      <c r="B8" s="3" t="s">
        <v>8</v>
      </c>
      <c r="C8" s="4" t="s">
        <v>9</v>
      </c>
    </row>
    <row r="9" spans="2:3" ht="32" customHeight="1" x14ac:dyDescent="0.2">
      <c r="B9" s="3" t="s">
        <v>10</v>
      </c>
      <c r="C9" s="4" t="s">
        <v>11</v>
      </c>
    </row>
    <row r="10" spans="2:3" ht="32" customHeight="1" x14ac:dyDescent="0.2">
      <c r="B10" s="3" t="s">
        <v>12</v>
      </c>
      <c r="C10" s="4" t="s">
        <v>13</v>
      </c>
    </row>
    <row r="11" spans="2:3" ht="32" customHeight="1" x14ac:dyDescent="0.2">
      <c r="B11" s="3" t="s">
        <v>14</v>
      </c>
      <c r="C11" s="4" t="s">
        <v>15</v>
      </c>
    </row>
    <row r="12" spans="2:3" ht="18" customHeight="1" x14ac:dyDescent="0.2">
      <c r="B12" s="3" t="s">
        <v>16</v>
      </c>
      <c r="C12" s="4" t="s">
        <v>17</v>
      </c>
    </row>
    <row r="13" spans="2:3" ht="32" customHeight="1" x14ac:dyDescent="0.2">
      <c r="B13" s="3" t="s">
        <v>18</v>
      </c>
      <c r="C13" s="4" t="s">
        <v>19</v>
      </c>
    </row>
    <row r="14" spans="2:3" ht="18" customHeight="1" x14ac:dyDescent="0.2">
      <c r="B14" s="3" t="s">
        <v>20</v>
      </c>
      <c r="C14" s="4" t="s">
        <v>21</v>
      </c>
    </row>
    <row r="15" spans="2:3" ht="18" customHeight="1" x14ac:dyDescent="0.2">
      <c r="B15" s="3" t="s">
        <v>22</v>
      </c>
      <c r="C15" s="4" t="s">
        <v>23</v>
      </c>
    </row>
    <row r="17" spans="2:2" x14ac:dyDescent="0.2">
      <c r="B17"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E003"/>
  </sheetPr>
  <dimension ref="A1:E24"/>
  <sheetViews>
    <sheetView showGridLines="0" workbookViewId="0"/>
  </sheetViews>
  <sheetFormatPr baseColWidth="10" defaultColWidth="8.83203125" defaultRowHeight="15" x14ac:dyDescent="0.2"/>
  <cols>
    <col min="1" max="1" width="44" customWidth="1"/>
    <col min="2" max="3" width="18" customWidth="1"/>
    <col min="4" max="4" width="60" customWidth="1"/>
    <col min="5" max="5" width="18" customWidth="1"/>
  </cols>
  <sheetData>
    <row r="1" spans="1:5" ht="28" customHeight="1" x14ac:dyDescent="0.25">
      <c r="A1" s="5" t="s">
        <v>25</v>
      </c>
    </row>
    <row r="2" spans="1:5" x14ac:dyDescent="0.2">
      <c r="A2" s="2" t="s">
        <v>26</v>
      </c>
    </row>
    <row r="4" spans="1:5" ht="30" customHeight="1" x14ac:dyDescent="0.2">
      <c r="A4" s="6" t="s">
        <v>27</v>
      </c>
      <c r="B4" s="6" t="s">
        <v>28</v>
      </c>
      <c r="C4" s="6" t="s">
        <v>29</v>
      </c>
      <c r="D4" s="6" t="s">
        <v>30</v>
      </c>
      <c r="E4" s="6" t="s">
        <v>31</v>
      </c>
    </row>
    <row r="5" spans="1:5" x14ac:dyDescent="0.2">
      <c r="A5" s="7" t="s">
        <v>32</v>
      </c>
      <c r="B5" s="8"/>
      <c r="C5" s="9" t="s">
        <v>33</v>
      </c>
      <c r="D5" s="7"/>
      <c r="E5" s="10" t="str">
        <f t="shared" ref="E5:E22" si="0">IF(B5="",C5,B5)</f>
        <v>Example Brewing Co</v>
      </c>
    </row>
    <row r="6" spans="1:5" x14ac:dyDescent="0.2">
      <c r="A6" s="7" t="s">
        <v>34</v>
      </c>
      <c r="B6" s="8"/>
      <c r="C6" s="9" t="s">
        <v>35</v>
      </c>
      <c r="D6" s="7" t="s">
        <v>36</v>
      </c>
      <c r="E6" s="10" t="str">
        <f t="shared" si="0"/>
        <v>INR</v>
      </c>
    </row>
    <row r="7" spans="1:5" x14ac:dyDescent="0.2">
      <c r="A7" s="7" t="s">
        <v>37</v>
      </c>
      <c r="B7" s="11"/>
      <c r="C7" s="12">
        <v>120000</v>
      </c>
      <c r="D7" s="7" t="s">
        <v>38</v>
      </c>
      <c r="E7" s="13">
        <f t="shared" si="0"/>
        <v>120000</v>
      </c>
    </row>
    <row r="8" spans="1:5" x14ac:dyDescent="0.2">
      <c r="A8" s="7" t="s">
        <v>39</v>
      </c>
      <c r="B8" s="11"/>
      <c r="C8" s="12">
        <v>18</v>
      </c>
      <c r="D8" s="7"/>
      <c r="E8" s="13">
        <f t="shared" si="0"/>
        <v>18</v>
      </c>
    </row>
    <row r="9" spans="1:5" x14ac:dyDescent="0.2">
      <c r="A9" s="7" t="s">
        <v>40</v>
      </c>
      <c r="B9" s="11"/>
      <c r="C9" s="12">
        <v>15</v>
      </c>
      <c r="D9" s="7"/>
      <c r="E9" s="13">
        <f t="shared" si="0"/>
        <v>15</v>
      </c>
    </row>
    <row r="10" spans="1:5" x14ac:dyDescent="0.2">
      <c r="A10" s="7" t="s">
        <v>41</v>
      </c>
      <c r="B10" s="11"/>
      <c r="C10" s="12">
        <v>3</v>
      </c>
      <c r="D10" s="7"/>
      <c r="E10" s="13">
        <f t="shared" si="0"/>
        <v>3</v>
      </c>
    </row>
    <row r="11" spans="1:5" x14ac:dyDescent="0.2">
      <c r="A11" s="7" t="s">
        <v>42</v>
      </c>
      <c r="B11" s="11"/>
      <c r="C11" s="12">
        <v>2100000</v>
      </c>
      <c r="D11" s="7" t="s">
        <v>43</v>
      </c>
      <c r="E11" s="13">
        <f t="shared" si="0"/>
        <v>2100000</v>
      </c>
    </row>
    <row r="12" spans="1:5" x14ac:dyDescent="0.2">
      <c r="A12" s="7" t="s">
        <v>44</v>
      </c>
      <c r="B12" s="14"/>
      <c r="C12" s="15">
        <v>45</v>
      </c>
      <c r="D12" s="7" t="s">
        <v>45</v>
      </c>
      <c r="E12" s="16">
        <f t="shared" si="0"/>
        <v>45</v>
      </c>
    </row>
    <row r="13" spans="1:5" x14ac:dyDescent="0.2">
      <c r="A13" s="7" t="s">
        <v>46</v>
      </c>
      <c r="B13" s="17"/>
      <c r="C13" s="18">
        <v>0.78</v>
      </c>
      <c r="D13" s="7" t="s">
        <v>47</v>
      </c>
      <c r="E13" s="19">
        <f t="shared" si="0"/>
        <v>0.78</v>
      </c>
    </row>
    <row r="14" spans="1:5" x14ac:dyDescent="0.2">
      <c r="A14" s="7" t="s">
        <v>48</v>
      </c>
      <c r="B14" s="11"/>
      <c r="C14" s="12">
        <v>2000</v>
      </c>
      <c r="D14" s="7" t="s">
        <v>49</v>
      </c>
      <c r="E14" s="13">
        <f t="shared" si="0"/>
        <v>2000</v>
      </c>
    </row>
    <row r="15" spans="1:5" x14ac:dyDescent="0.2">
      <c r="A15" s="7" t="s">
        <v>50</v>
      </c>
      <c r="B15" s="11"/>
      <c r="C15" s="12">
        <v>200</v>
      </c>
      <c r="D15" s="7" t="s">
        <v>51</v>
      </c>
      <c r="E15" s="13">
        <f t="shared" si="0"/>
        <v>200</v>
      </c>
    </row>
    <row r="16" spans="1:5" x14ac:dyDescent="0.2">
      <c r="A16" s="7" t="s">
        <v>52</v>
      </c>
      <c r="B16" s="17"/>
      <c r="C16" s="18">
        <v>0.92</v>
      </c>
      <c r="D16" s="7" t="s">
        <v>53</v>
      </c>
      <c r="E16" s="19">
        <f t="shared" si="0"/>
        <v>0.92</v>
      </c>
    </row>
    <row r="17" spans="1:5" x14ac:dyDescent="0.2">
      <c r="A17" s="7" t="s">
        <v>54</v>
      </c>
      <c r="B17" s="11"/>
      <c r="C17" s="12">
        <v>20</v>
      </c>
      <c r="D17" s="7" t="s">
        <v>55</v>
      </c>
      <c r="E17" s="13">
        <f t="shared" si="0"/>
        <v>20</v>
      </c>
    </row>
    <row r="18" spans="1:5" x14ac:dyDescent="0.2">
      <c r="A18" s="7" t="s">
        <v>56</v>
      </c>
      <c r="B18" s="11"/>
      <c r="C18" s="12">
        <v>600</v>
      </c>
      <c r="D18" s="7" t="s">
        <v>57</v>
      </c>
      <c r="E18" s="13">
        <f t="shared" si="0"/>
        <v>600</v>
      </c>
    </row>
    <row r="19" spans="1:5" x14ac:dyDescent="0.2">
      <c r="A19" s="7" t="s">
        <v>58</v>
      </c>
      <c r="B19" s="8"/>
      <c r="C19" s="9" t="s">
        <v>59</v>
      </c>
      <c r="D19" s="7"/>
      <c r="E19" s="10" t="str">
        <f t="shared" si="0"/>
        <v>Excel</v>
      </c>
    </row>
    <row r="20" spans="1:5" x14ac:dyDescent="0.2">
      <c r="A20" s="7" t="s">
        <v>60</v>
      </c>
      <c r="B20" s="8"/>
      <c r="C20" s="9" t="s">
        <v>61</v>
      </c>
      <c r="D20" s="7"/>
      <c r="E20" s="10" t="str">
        <f t="shared" si="0"/>
        <v>None</v>
      </c>
    </row>
    <row r="21" spans="1:5" x14ac:dyDescent="0.2">
      <c r="A21" s="7" t="s">
        <v>62</v>
      </c>
      <c r="B21" s="8"/>
      <c r="C21" s="9" t="s">
        <v>63</v>
      </c>
      <c r="D21" s="7"/>
      <c r="E21" s="10" t="str">
        <f t="shared" si="0"/>
        <v>Excel lab sheets</v>
      </c>
    </row>
    <row r="22" spans="1:5" ht="28" x14ac:dyDescent="0.2">
      <c r="A22" s="7" t="s">
        <v>64</v>
      </c>
      <c r="B22" s="8"/>
      <c r="C22" s="9" t="s">
        <v>65</v>
      </c>
      <c r="D22" s="7" t="s">
        <v>66</v>
      </c>
      <c r="E22" s="10" t="str">
        <f t="shared" si="0"/>
        <v>Microsoft 365 only</v>
      </c>
    </row>
    <row r="24" spans="1:5" x14ac:dyDescent="0.2">
      <c r="A24" s="2"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5E003"/>
  </sheetPr>
  <dimension ref="A1:H40"/>
  <sheetViews>
    <sheetView showGridLines="0"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30" customWidth="1"/>
    <col min="2" max="2" width="46" customWidth="1"/>
    <col min="3" max="3" width="22" customWidth="1"/>
    <col min="4" max="5" width="16" customWidth="1"/>
    <col min="6" max="6" width="12" customWidth="1"/>
    <col min="7" max="7" width="14" customWidth="1"/>
    <col min="8" max="8" width="36" customWidth="1"/>
  </cols>
  <sheetData>
    <row r="1" spans="1:8" ht="28" customHeight="1" x14ac:dyDescent="0.25">
      <c r="A1" s="5" t="s">
        <v>68</v>
      </c>
    </row>
    <row r="2" spans="1:8" x14ac:dyDescent="0.2">
      <c r="A2" s="2" t="s">
        <v>69</v>
      </c>
    </row>
    <row r="4" spans="1:8" ht="30" customHeight="1" x14ac:dyDescent="0.2">
      <c r="A4" s="6" t="s">
        <v>70</v>
      </c>
      <c r="B4" s="6" t="s">
        <v>71</v>
      </c>
      <c r="C4" s="6" t="s">
        <v>72</v>
      </c>
      <c r="D4" s="6" t="s">
        <v>73</v>
      </c>
      <c r="E4" s="6" t="s">
        <v>74</v>
      </c>
      <c r="F4" s="6" t="s">
        <v>75</v>
      </c>
      <c r="G4" s="6" t="s">
        <v>76</v>
      </c>
      <c r="H4" s="6" t="s">
        <v>77</v>
      </c>
    </row>
    <row r="5" spans="1:8" x14ac:dyDescent="0.2">
      <c r="A5" s="7" t="s">
        <v>78</v>
      </c>
      <c r="B5" s="7" t="s">
        <v>79</v>
      </c>
      <c r="C5" s="20" t="s">
        <v>80</v>
      </c>
      <c r="D5" s="20" t="s">
        <v>81</v>
      </c>
      <c r="E5" s="20" t="s">
        <v>82</v>
      </c>
      <c r="F5" s="20">
        <v>4</v>
      </c>
      <c r="G5" s="21">
        <f t="shared" ref="G5:G38" si="0">IF(C5="","",IF(C5="Not kept",0,IF(F5="",0.5,F5/5)*IF(C5="Paper",0.5,1)))</f>
        <v>0.8</v>
      </c>
      <c r="H5" s="22" t="s">
        <v>83</v>
      </c>
    </row>
    <row r="6" spans="1:8" x14ac:dyDescent="0.2">
      <c r="A6" s="7" t="s">
        <v>78</v>
      </c>
      <c r="B6" s="7" t="s">
        <v>84</v>
      </c>
      <c r="C6" s="20"/>
      <c r="D6" s="20"/>
      <c r="E6" s="20"/>
      <c r="F6" s="20"/>
      <c r="G6" s="21" t="str">
        <f t="shared" si="0"/>
        <v/>
      </c>
      <c r="H6" s="20"/>
    </row>
    <row r="7" spans="1:8" x14ac:dyDescent="0.2">
      <c r="A7" s="7" t="s">
        <v>78</v>
      </c>
      <c r="B7" s="7" t="s">
        <v>85</v>
      </c>
      <c r="C7" s="20"/>
      <c r="D7" s="20"/>
      <c r="E7" s="20"/>
      <c r="F7" s="20"/>
      <c r="G7" s="21" t="str">
        <f t="shared" si="0"/>
        <v/>
      </c>
      <c r="H7" s="20"/>
    </row>
    <row r="8" spans="1:8" x14ac:dyDescent="0.2">
      <c r="A8" s="7" t="s">
        <v>78</v>
      </c>
      <c r="B8" s="7" t="s">
        <v>86</v>
      </c>
      <c r="C8" s="20"/>
      <c r="D8" s="20"/>
      <c r="E8" s="20"/>
      <c r="F8" s="20"/>
      <c r="G8" s="21" t="str">
        <f t="shared" si="0"/>
        <v/>
      </c>
      <c r="H8" s="20"/>
    </row>
    <row r="9" spans="1:8" x14ac:dyDescent="0.2">
      <c r="A9" s="7" t="s">
        <v>78</v>
      </c>
      <c r="B9" s="7" t="s">
        <v>87</v>
      </c>
      <c r="C9" s="20"/>
      <c r="D9" s="20"/>
      <c r="E9" s="20"/>
      <c r="F9" s="20"/>
      <c r="G9" s="21" t="str">
        <f t="shared" si="0"/>
        <v/>
      </c>
      <c r="H9" s="20"/>
    </row>
    <row r="10" spans="1:8" x14ac:dyDescent="0.2">
      <c r="A10" s="7" t="s">
        <v>88</v>
      </c>
      <c r="B10" s="7" t="s">
        <v>89</v>
      </c>
      <c r="C10" s="20"/>
      <c r="D10" s="20"/>
      <c r="E10" s="20"/>
      <c r="F10" s="20"/>
      <c r="G10" s="21" t="str">
        <f t="shared" si="0"/>
        <v/>
      </c>
      <c r="H10" s="20"/>
    </row>
    <row r="11" spans="1:8" x14ac:dyDescent="0.2">
      <c r="A11" s="7" t="s">
        <v>88</v>
      </c>
      <c r="B11" s="7" t="s">
        <v>90</v>
      </c>
      <c r="C11" s="20"/>
      <c r="D11" s="20"/>
      <c r="E11" s="20"/>
      <c r="F11" s="20"/>
      <c r="G11" s="21" t="str">
        <f t="shared" si="0"/>
        <v/>
      </c>
      <c r="H11" s="20"/>
    </row>
    <row r="12" spans="1:8" x14ac:dyDescent="0.2">
      <c r="A12" s="7" t="s">
        <v>88</v>
      </c>
      <c r="B12" s="7" t="s">
        <v>91</v>
      </c>
      <c r="C12" s="20"/>
      <c r="D12" s="20"/>
      <c r="E12" s="20"/>
      <c r="F12" s="20"/>
      <c r="G12" s="21" t="str">
        <f t="shared" si="0"/>
        <v/>
      </c>
      <c r="H12" s="20"/>
    </row>
    <row r="13" spans="1:8" x14ac:dyDescent="0.2">
      <c r="A13" s="7" t="s">
        <v>92</v>
      </c>
      <c r="B13" s="7" t="s">
        <v>93</v>
      </c>
      <c r="C13" s="20"/>
      <c r="D13" s="20"/>
      <c r="E13" s="20"/>
      <c r="F13" s="20"/>
      <c r="G13" s="21" t="str">
        <f t="shared" si="0"/>
        <v/>
      </c>
      <c r="H13" s="20"/>
    </row>
    <row r="14" spans="1:8" x14ac:dyDescent="0.2">
      <c r="A14" s="7" t="s">
        <v>92</v>
      </c>
      <c r="B14" s="7" t="s">
        <v>94</v>
      </c>
      <c r="C14" s="20"/>
      <c r="D14" s="20"/>
      <c r="E14" s="20"/>
      <c r="F14" s="20"/>
      <c r="G14" s="21" t="str">
        <f t="shared" si="0"/>
        <v/>
      </c>
      <c r="H14" s="20"/>
    </row>
    <row r="15" spans="1:8" x14ac:dyDescent="0.2">
      <c r="A15" s="7" t="s">
        <v>92</v>
      </c>
      <c r="B15" s="7" t="s">
        <v>95</v>
      </c>
      <c r="C15" s="20"/>
      <c r="D15" s="20"/>
      <c r="E15" s="20"/>
      <c r="F15" s="20"/>
      <c r="G15" s="21" t="str">
        <f t="shared" si="0"/>
        <v/>
      </c>
      <c r="H15" s="20"/>
    </row>
    <row r="16" spans="1:8" x14ac:dyDescent="0.2">
      <c r="A16" s="7" t="s">
        <v>92</v>
      </c>
      <c r="B16" s="7" t="s">
        <v>96</v>
      </c>
      <c r="C16" s="20"/>
      <c r="D16" s="20"/>
      <c r="E16" s="20"/>
      <c r="F16" s="20"/>
      <c r="G16" s="21" t="str">
        <f t="shared" si="0"/>
        <v/>
      </c>
      <c r="H16" s="20"/>
    </row>
    <row r="17" spans="1:8" x14ac:dyDescent="0.2">
      <c r="A17" s="7" t="s">
        <v>97</v>
      </c>
      <c r="B17" s="7" t="s">
        <v>98</v>
      </c>
      <c r="C17" s="20"/>
      <c r="D17" s="20"/>
      <c r="E17" s="20"/>
      <c r="F17" s="20"/>
      <c r="G17" s="21" t="str">
        <f t="shared" si="0"/>
        <v/>
      </c>
      <c r="H17" s="20"/>
    </row>
    <row r="18" spans="1:8" x14ac:dyDescent="0.2">
      <c r="A18" s="7" t="s">
        <v>97</v>
      </c>
      <c r="B18" s="7" t="s">
        <v>99</v>
      </c>
      <c r="C18" s="20"/>
      <c r="D18" s="20"/>
      <c r="E18" s="20"/>
      <c r="F18" s="20"/>
      <c r="G18" s="21" t="str">
        <f t="shared" si="0"/>
        <v/>
      </c>
      <c r="H18" s="20"/>
    </row>
    <row r="19" spans="1:8" x14ac:dyDescent="0.2">
      <c r="A19" s="7" t="s">
        <v>97</v>
      </c>
      <c r="B19" s="7" t="s">
        <v>100</v>
      </c>
      <c r="C19" s="20"/>
      <c r="D19" s="20"/>
      <c r="E19" s="20"/>
      <c r="F19" s="20"/>
      <c r="G19" s="21" t="str">
        <f t="shared" si="0"/>
        <v/>
      </c>
      <c r="H19" s="20"/>
    </row>
    <row r="20" spans="1:8" x14ac:dyDescent="0.2">
      <c r="A20" s="7" t="s">
        <v>97</v>
      </c>
      <c r="B20" s="7" t="s">
        <v>101</v>
      </c>
      <c r="C20" s="20"/>
      <c r="D20" s="20"/>
      <c r="E20" s="20"/>
      <c r="F20" s="20"/>
      <c r="G20" s="21" t="str">
        <f t="shared" si="0"/>
        <v/>
      </c>
      <c r="H20" s="20"/>
    </row>
    <row r="21" spans="1:8" x14ac:dyDescent="0.2">
      <c r="A21" s="7" t="s">
        <v>102</v>
      </c>
      <c r="B21" s="7" t="s">
        <v>103</v>
      </c>
      <c r="C21" s="20"/>
      <c r="D21" s="20"/>
      <c r="E21" s="20"/>
      <c r="F21" s="20"/>
      <c r="G21" s="21" t="str">
        <f t="shared" si="0"/>
        <v/>
      </c>
      <c r="H21" s="20"/>
    </row>
    <row r="22" spans="1:8" x14ac:dyDescent="0.2">
      <c r="A22" s="7" t="s">
        <v>102</v>
      </c>
      <c r="B22" s="7" t="s">
        <v>104</v>
      </c>
      <c r="C22" s="20"/>
      <c r="D22" s="20"/>
      <c r="E22" s="20"/>
      <c r="F22" s="20"/>
      <c r="G22" s="21" t="str">
        <f t="shared" si="0"/>
        <v/>
      </c>
      <c r="H22" s="20"/>
    </row>
    <row r="23" spans="1:8" x14ac:dyDescent="0.2">
      <c r="A23" s="7" t="s">
        <v>102</v>
      </c>
      <c r="B23" s="7" t="s">
        <v>105</v>
      </c>
      <c r="C23" s="20"/>
      <c r="D23" s="20"/>
      <c r="E23" s="20"/>
      <c r="F23" s="20"/>
      <c r="G23" s="21" t="str">
        <f t="shared" si="0"/>
        <v/>
      </c>
      <c r="H23" s="20"/>
    </row>
    <row r="24" spans="1:8" x14ac:dyDescent="0.2">
      <c r="A24" s="7" t="s">
        <v>102</v>
      </c>
      <c r="B24" s="7" t="s">
        <v>106</v>
      </c>
      <c r="C24" s="20"/>
      <c r="D24" s="20"/>
      <c r="E24" s="20"/>
      <c r="F24" s="20"/>
      <c r="G24" s="21" t="str">
        <f t="shared" si="0"/>
        <v/>
      </c>
      <c r="H24" s="20"/>
    </row>
    <row r="25" spans="1:8" x14ac:dyDescent="0.2">
      <c r="A25" s="7" t="s">
        <v>102</v>
      </c>
      <c r="B25" s="7" t="s">
        <v>107</v>
      </c>
      <c r="C25" s="20"/>
      <c r="D25" s="20"/>
      <c r="E25" s="20"/>
      <c r="F25" s="20"/>
      <c r="G25" s="21" t="str">
        <f t="shared" si="0"/>
        <v/>
      </c>
      <c r="H25" s="20"/>
    </row>
    <row r="26" spans="1:8" x14ac:dyDescent="0.2">
      <c r="A26" s="7" t="s">
        <v>108</v>
      </c>
      <c r="B26" s="7" t="s">
        <v>109</v>
      </c>
      <c r="C26" s="20"/>
      <c r="D26" s="20"/>
      <c r="E26" s="20"/>
      <c r="F26" s="20"/>
      <c r="G26" s="21" t="str">
        <f t="shared" si="0"/>
        <v/>
      </c>
      <c r="H26" s="20"/>
    </row>
    <row r="27" spans="1:8" x14ac:dyDescent="0.2">
      <c r="A27" s="7" t="s">
        <v>108</v>
      </c>
      <c r="B27" s="7" t="s">
        <v>110</v>
      </c>
      <c r="C27" s="20"/>
      <c r="D27" s="20"/>
      <c r="E27" s="20"/>
      <c r="F27" s="20"/>
      <c r="G27" s="21" t="str">
        <f t="shared" si="0"/>
        <v/>
      </c>
      <c r="H27" s="20"/>
    </row>
    <row r="28" spans="1:8" x14ac:dyDescent="0.2">
      <c r="A28" s="7" t="s">
        <v>108</v>
      </c>
      <c r="B28" s="7" t="s">
        <v>111</v>
      </c>
      <c r="C28" s="20"/>
      <c r="D28" s="20"/>
      <c r="E28" s="20"/>
      <c r="F28" s="20"/>
      <c r="G28" s="21" t="str">
        <f t="shared" si="0"/>
        <v/>
      </c>
      <c r="H28" s="20"/>
    </row>
    <row r="29" spans="1:8" x14ac:dyDescent="0.2">
      <c r="A29" s="7" t="s">
        <v>108</v>
      </c>
      <c r="B29" s="7" t="s">
        <v>112</v>
      </c>
      <c r="C29" s="20"/>
      <c r="D29" s="20"/>
      <c r="E29" s="20"/>
      <c r="F29" s="20"/>
      <c r="G29" s="21" t="str">
        <f t="shared" si="0"/>
        <v/>
      </c>
      <c r="H29" s="20"/>
    </row>
    <row r="30" spans="1:8" x14ac:dyDescent="0.2">
      <c r="A30" s="7" t="s">
        <v>108</v>
      </c>
      <c r="B30" s="7" t="s">
        <v>113</v>
      </c>
      <c r="C30" s="20"/>
      <c r="D30" s="20"/>
      <c r="E30" s="20"/>
      <c r="F30" s="20"/>
      <c r="G30" s="21" t="str">
        <f t="shared" si="0"/>
        <v/>
      </c>
      <c r="H30" s="20"/>
    </row>
    <row r="31" spans="1:8" x14ac:dyDescent="0.2">
      <c r="A31" s="7" t="s">
        <v>114</v>
      </c>
      <c r="B31" s="7" t="s">
        <v>115</v>
      </c>
      <c r="C31" s="20"/>
      <c r="D31" s="20"/>
      <c r="E31" s="20"/>
      <c r="F31" s="20"/>
      <c r="G31" s="21" t="str">
        <f t="shared" si="0"/>
        <v/>
      </c>
      <c r="H31" s="20"/>
    </row>
    <row r="32" spans="1:8" x14ac:dyDescent="0.2">
      <c r="A32" s="7" t="s">
        <v>114</v>
      </c>
      <c r="B32" s="7" t="s">
        <v>116</v>
      </c>
      <c r="C32" s="20"/>
      <c r="D32" s="20"/>
      <c r="E32" s="20"/>
      <c r="F32" s="20"/>
      <c r="G32" s="21" t="str">
        <f t="shared" si="0"/>
        <v/>
      </c>
      <c r="H32" s="20"/>
    </row>
    <row r="33" spans="1:8" x14ac:dyDescent="0.2">
      <c r="A33" s="7" t="s">
        <v>114</v>
      </c>
      <c r="B33" s="7" t="s">
        <v>117</v>
      </c>
      <c r="C33" s="20"/>
      <c r="D33" s="20"/>
      <c r="E33" s="20"/>
      <c r="F33" s="20"/>
      <c r="G33" s="21" t="str">
        <f t="shared" si="0"/>
        <v/>
      </c>
      <c r="H33" s="20"/>
    </row>
    <row r="34" spans="1:8" x14ac:dyDescent="0.2">
      <c r="A34" s="7" t="s">
        <v>114</v>
      </c>
      <c r="B34" s="7" t="s">
        <v>118</v>
      </c>
      <c r="C34" s="20"/>
      <c r="D34" s="20"/>
      <c r="E34" s="20"/>
      <c r="F34" s="20"/>
      <c r="G34" s="21" t="str">
        <f t="shared" si="0"/>
        <v/>
      </c>
      <c r="H34" s="20"/>
    </row>
    <row r="35" spans="1:8" x14ac:dyDescent="0.2">
      <c r="A35" s="7" t="s">
        <v>119</v>
      </c>
      <c r="B35" s="7" t="s">
        <v>120</v>
      </c>
      <c r="C35" s="20"/>
      <c r="D35" s="20"/>
      <c r="E35" s="20"/>
      <c r="F35" s="20"/>
      <c r="G35" s="21" t="str">
        <f t="shared" si="0"/>
        <v/>
      </c>
      <c r="H35" s="20"/>
    </row>
    <row r="36" spans="1:8" x14ac:dyDescent="0.2">
      <c r="A36" s="7" t="s">
        <v>119</v>
      </c>
      <c r="B36" s="7" t="s">
        <v>121</v>
      </c>
      <c r="C36" s="20"/>
      <c r="D36" s="20"/>
      <c r="E36" s="20"/>
      <c r="F36" s="20"/>
      <c r="G36" s="21" t="str">
        <f t="shared" si="0"/>
        <v/>
      </c>
      <c r="H36" s="20"/>
    </row>
    <row r="37" spans="1:8" x14ac:dyDescent="0.2">
      <c r="A37" s="7" t="s">
        <v>119</v>
      </c>
      <c r="B37" s="7" t="s">
        <v>122</v>
      </c>
      <c r="C37" s="20"/>
      <c r="D37" s="20"/>
      <c r="E37" s="20"/>
      <c r="F37" s="20"/>
      <c r="G37" s="21" t="str">
        <f t="shared" si="0"/>
        <v/>
      </c>
      <c r="H37" s="20"/>
    </row>
    <row r="38" spans="1:8" x14ac:dyDescent="0.2">
      <c r="A38" s="7" t="s">
        <v>119</v>
      </c>
      <c r="B38" s="7" t="s">
        <v>123</v>
      </c>
      <c r="C38" s="20"/>
      <c r="D38" s="20"/>
      <c r="E38" s="20"/>
      <c r="F38" s="20"/>
      <c r="G38" s="21" t="str">
        <f t="shared" si="0"/>
        <v/>
      </c>
      <c r="H38" s="20"/>
    </row>
    <row r="40" spans="1:8" x14ac:dyDescent="0.2">
      <c r="A40" s="2" t="s">
        <v>124</v>
      </c>
    </row>
  </sheetData>
  <dataValidations count="3">
    <dataValidation type="list" allowBlank="1" sqref="C5 C6 C7 C8 C9 C10 C11 C12 C13 C14 C15 C16 C17 C18 C19 C20 C21 C22 C23 C24 C25 C26 C27 C28 C29 C30 C31 C32 C33 C34 C35 C36 C37 C38" xr:uid="{00000000-0002-0000-0200-000000000000}">
      <formula1>"Paper,Excel or Google Sheets,ERP,SCADA or historian,LIMS or lab system,Other software,Not kept"</formula1>
    </dataValidation>
    <dataValidation type="list" allowBlank="1" sqref="D5 D6 D7 D8 D9 D10 D11 D12 D13 D14 D15 D16 D17 D18 D19 D20 D21 D22 D23 D24 D25 D26 D27 D28 D29 D30 D31 D32 D33 D34 D35 D36 D37 D38" xr:uid="{00000000-0002-0000-0200-000001000000}">
      <formula1>"Live,Each batch,Daily,Weekly,Monthly,Rarely"</formula1>
    </dataValidation>
    <dataValidation type="whole" allowBlank="1" sqref="F5 F6 F7 F8 F9 F10 F11 F12 F13 F14 F15 F16 F17 F18 F19 F20 F21 F22 F23 F24 F25 F26 F27 F28 F29 F30 F31 F32 F33 F34 F35 F36 F37 F38" xr:uid="{00000000-0002-0000-0200-000002000000}">
      <formula1>1</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5E003"/>
  </sheetPr>
  <dimension ref="A1:E22"/>
  <sheetViews>
    <sheetView showGridLines="0" workbookViewId="0"/>
  </sheetViews>
  <sheetFormatPr baseColWidth="10" defaultColWidth="8.83203125" defaultRowHeight="15" x14ac:dyDescent="0.2"/>
  <cols>
    <col min="1" max="1" width="46" customWidth="1"/>
    <col min="2" max="2" width="14" customWidth="1"/>
    <col min="3" max="3" width="18" customWidth="1"/>
    <col min="4" max="4" width="16" customWidth="1"/>
    <col min="5" max="5" width="40" customWidth="1"/>
  </cols>
  <sheetData>
    <row r="1" spans="1:5" ht="28" customHeight="1" x14ac:dyDescent="0.25">
      <c r="A1" s="5" t="s">
        <v>125</v>
      </c>
    </row>
    <row r="2" spans="1:5" x14ac:dyDescent="0.2">
      <c r="A2" s="2" t="s">
        <v>126</v>
      </c>
    </row>
    <row r="4" spans="1:5" ht="30" customHeight="1" x14ac:dyDescent="0.2">
      <c r="A4" s="6" t="s">
        <v>127</v>
      </c>
      <c r="B4" s="6" t="s">
        <v>128</v>
      </c>
      <c r="C4" s="6" t="s">
        <v>129</v>
      </c>
      <c r="D4" s="6" t="s">
        <v>130</v>
      </c>
      <c r="E4" s="6" t="s">
        <v>77</v>
      </c>
    </row>
    <row r="5" spans="1:5" x14ac:dyDescent="0.2">
      <c r="A5" s="7" t="s">
        <v>131</v>
      </c>
      <c r="B5" s="20" t="s">
        <v>132</v>
      </c>
      <c r="C5" s="23">
        <v>46023</v>
      </c>
      <c r="D5" s="7" t="str">
        <f t="shared" ref="D5:D22" ca="1" si="0">IF(C5="",IF(B5="No","Not fitted",""),IF(TODAY()-C5&lt;=365,"Yes","Overdue"))</f>
        <v>Yes</v>
      </c>
      <c r="E5" s="24" t="s">
        <v>83</v>
      </c>
    </row>
    <row r="6" spans="1:5" x14ac:dyDescent="0.2">
      <c r="A6" s="7" t="s">
        <v>133</v>
      </c>
      <c r="B6" s="20"/>
      <c r="C6" s="23"/>
      <c r="D6" s="7" t="str">
        <f t="shared" ca="1" si="0"/>
        <v/>
      </c>
      <c r="E6" s="20"/>
    </row>
    <row r="7" spans="1:5" x14ac:dyDescent="0.2">
      <c r="A7" s="7" t="s">
        <v>134</v>
      </c>
      <c r="B7" s="20"/>
      <c r="C7" s="23"/>
      <c r="D7" s="7" t="str">
        <f t="shared" ca="1" si="0"/>
        <v/>
      </c>
      <c r="E7" s="20"/>
    </row>
    <row r="8" spans="1:5" x14ac:dyDescent="0.2">
      <c r="A8" s="7" t="s">
        <v>135</v>
      </c>
      <c r="B8" s="20"/>
      <c r="C8" s="23"/>
      <c r="D8" s="7" t="str">
        <f t="shared" ca="1" si="0"/>
        <v/>
      </c>
      <c r="E8" s="20"/>
    </row>
    <row r="9" spans="1:5" x14ac:dyDescent="0.2">
      <c r="A9" s="7" t="s">
        <v>136</v>
      </c>
      <c r="B9" s="20"/>
      <c r="C9" s="23"/>
      <c r="D9" s="7" t="str">
        <f t="shared" ca="1" si="0"/>
        <v/>
      </c>
      <c r="E9" s="20"/>
    </row>
    <row r="10" spans="1:5" x14ac:dyDescent="0.2">
      <c r="A10" s="7" t="s">
        <v>137</v>
      </c>
      <c r="B10" s="20"/>
      <c r="C10" s="23"/>
      <c r="D10" s="7" t="str">
        <f t="shared" ca="1" si="0"/>
        <v/>
      </c>
      <c r="E10" s="20"/>
    </row>
    <row r="11" spans="1:5" x14ac:dyDescent="0.2">
      <c r="A11" s="7" t="s">
        <v>138</v>
      </c>
      <c r="B11" s="20"/>
      <c r="C11" s="23"/>
      <c r="D11" s="7" t="str">
        <f t="shared" ca="1" si="0"/>
        <v/>
      </c>
      <c r="E11" s="20"/>
    </row>
    <row r="12" spans="1:5" x14ac:dyDescent="0.2">
      <c r="A12" s="7" t="s">
        <v>139</v>
      </c>
      <c r="B12" s="20"/>
      <c r="C12" s="23"/>
      <c r="D12" s="7" t="str">
        <f t="shared" ca="1" si="0"/>
        <v/>
      </c>
      <c r="E12" s="20"/>
    </row>
    <row r="13" spans="1:5" x14ac:dyDescent="0.2">
      <c r="A13" s="7" t="s">
        <v>140</v>
      </c>
      <c r="B13" s="20"/>
      <c r="C13" s="23"/>
      <c r="D13" s="7" t="str">
        <f t="shared" ca="1" si="0"/>
        <v/>
      </c>
      <c r="E13" s="20"/>
    </row>
    <row r="14" spans="1:5" x14ac:dyDescent="0.2">
      <c r="A14" s="7" t="s">
        <v>141</v>
      </c>
      <c r="B14" s="20"/>
      <c r="C14" s="23"/>
      <c r="D14" s="7" t="str">
        <f t="shared" ca="1" si="0"/>
        <v/>
      </c>
      <c r="E14" s="20"/>
    </row>
    <row r="15" spans="1:5" x14ac:dyDescent="0.2">
      <c r="A15" s="7" t="s">
        <v>142</v>
      </c>
      <c r="B15" s="20"/>
      <c r="C15" s="23"/>
      <c r="D15" s="7" t="str">
        <f t="shared" ca="1" si="0"/>
        <v/>
      </c>
      <c r="E15" s="20"/>
    </row>
    <row r="16" spans="1:5" x14ac:dyDescent="0.2">
      <c r="A16" s="7" t="s">
        <v>143</v>
      </c>
      <c r="B16" s="20"/>
      <c r="C16" s="23"/>
      <c r="D16" s="7" t="str">
        <f t="shared" ca="1" si="0"/>
        <v/>
      </c>
      <c r="E16" s="20"/>
    </row>
    <row r="17" spans="1:5" x14ac:dyDescent="0.2">
      <c r="A17" s="7" t="s">
        <v>144</v>
      </c>
      <c r="B17" s="20"/>
      <c r="C17" s="23"/>
      <c r="D17" s="7" t="str">
        <f t="shared" ca="1" si="0"/>
        <v/>
      </c>
      <c r="E17" s="20"/>
    </row>
    <row r="18" spans="1:5" x14ac:dyDescent="0.2">
      <c r="A18" s="7" t="s">
        <v>145</v>
      </c>
      <c r="B18" s="20"/>
      <c r="C18" s="23"/>
      <c r="D18" s="7" t="str">
        <f t="shared" ca="1" si="0"/>
        <v/>
      </c>
      <c r="E18" s="20"/>
    </row>
    <row r="19" spans="1:5" x14ac:dyDescent="0.2">
      <c r="A19" s="7" t="s">
        <v>146</v>
      </c>
      <c r="B19" s="20"/>
      <c r="C19" s="23"/>
      <c r="D19" s="7" t="str">
        <f t="shared" ca="1" si="0"/>
        <v/>
      </c>
      <c r="E19" s="20"/>
    </row>
    <row r="20" spans="1:5" x14ac:dyDescent="0.2">
      <c r="A20" s="7" t="s">
        <v>147</v>
      </c>
      <c r="B20" s="20"/>
      <c r="C20" s="23"/>
      <c r="D20" s="7" t="str">
        <f t="shared" ca="1" si="0"/>
        <v/>
      </c>
      <c r="E20" s="20"/>
    </row>
    <row r="21" spans="1:5" x14ac:dyDescent="0.2">
      <c r="A21" s="7" t="s">
        <v>148</v>
      </c>
      <c r="B21" s="20"/>
      <c r="C21" s="23"/>
      <c r="D21" s="7" t="str">
        <f t="shared" ca="1" si="0"/>
        <v/>
      </c>
      <c r="E21" s="20"/>
    </row>
    <row r="22" spans="1:5" x14ac:dyDescent="0.2">
      <c r="A22" s="7" t="s">
        <v>149</v>
      </c>
      <c r="B22" s="20"/>
      <c r="C22" s="23"/>
      <c r="D22" s="7" t="str">
        <f t="shared" ca="1" si="0"/>
        <v/>
      </c>
      <c r="E22" s="20"/>
    </row>
  </sheetData>
  <conditionalFormatting sqref="D5:D22">
    <cfRule type="cellIs" dxfId="1" priority="1" operator="equal">
      <formula>"Overdue"</formula>
    </cfRule>
  </conditionalFormatting>
  <dataValidations count="1">
    <dataValidation type="list" allowBlank="1" sqref="B5 B6 B7 B8 B9 B10 B11 B12 B13 B14 B15 B16 B17 B18 B19 B20 B21 B22" xr:uid="{00000000-0002-0000-0300-000000000000}">
      <formula1>"Yes,No,Partly"</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5E003"/>
  </sheetPr>
  <dimension ref="A1:P21"/>
  <sheetViews>
    <sheetView showGridLines="0" workbookViewId="0">
      <pane xSplit="1" ySplit="4" topLeftCell="B5" activePane="bottomRight" state="frozen"/>
      <selection pane="topRight"/>
      <selection pane="bottomLeft"/>
      <selection pane="bottomRight"/>
    </sheetView>
  </sheetViews>
  <sheetFormatPr baseColWidth="10" defaultColWidth="8.83203125" defaultRowHeight="15" x14ac:dyDescent="0.2"/>
  <cols>
    <col min="1" max="1" width="12" customWidth="1"/>
    <col min="2" max="2" width="11" customWidth="1"/>
    <col min="3" max="4" width="14" customWidth="1"/>
    <col min="5" max="5" width="11" customWidth="1"/>
    <col min="6" max="7" width="14" customWidth="1"/>
    <col min="8" max="8" width="12" customWidth="1"/>
    <col min="9" max="10" width="14" customWidth="1"/>
    <col min="11" max="11" width="12" customWidth="1"/>
    <col min="12" max="16" width="13" customWidth="1"/>
  </cols>
  <sheetData>
    <row r="1" spans="1:16" ht="28" customHeight="1" x14ac:dyDescent="0.25">
      <c r="A1" s="5" t="s">
        <v>150</v>
      </c>
    </row>
    <row r="2" spans="1:16" x14ac:dyDescent="0.2">
      <c r="A2" s="2" t="s">
        <v>151</v>
      </c>
    </row>
    <row r="4" spans="1:16" ht="30" customHeight="1" x14ac:dyDescent="0.2">
      <c r="A4" s="6" t="s">
        <v>152</v>
      </c>
      <c r="B4" s="6" t="s">
        <v>153</v>
      </c>
      <c r="C4" s="6" t="s">
        <v>154</v>
      </c>
      <c r="D4" s="6" t="s">
        <v>155</v>
      </c>
      <c r="E4" s="6" t="s">
        <v>156</v>
      </c>
      <c r="F4" s="6" t="s">
        <v>157</v>
      </c>
      <c r="G4" s="6" t="s">
        <v>158</v>
      </c>
      <c r="H4" s="6" t="s">
        <v>159</v>
      </c>
      <c r="I4" s="6" t="s">
        <v>160</v>
      </c>
      <c r="J4" s="6" t="s">
        <v>161</v>
      </c>
      <c r="K4" s="6" t="s">
        <v>162</v>
      </c>
      <c r="L4" s="6" t="s">
        <v>163</v>
      </c>
      <c r="M4" s="6" t="s">
        <v>164</v>
      </c>
      <c r="N4" s="6" t="s">
        <v>165</v>
      </c>
      <c r="O4" s="6" t="s">
        <v>166</v>
      </c>
      <c r="P4" s="6" t="s">
        <v>167</v>
      </c>
    </row>
    <row r="5" spans="1:16" x14ac:dyDescent="0.2">
      <c r="A5" s="25">
        <v>46143</v>
      </c>
      <c r="B5" s="11">
        <v>78</v>
      </c>
      <c r="C5" s="11">
        <v>191000</v>
      </c>
      <c r="D5" s="11">
        <v>10900</v>
      </c>
      <c r="E5" s="26">
        <v>12</v>
      </c>
      <c r="F5" s="11">
        <v>10400</v>
      </c>
      <c r="G5" s="11">
        <v>10000</v>
      </c>
      <c r="H5" s="11">
        <v>20</v>
      </c>
      <c r="I5" s="11">
        <v>95000</v>
      </c>
      <c r="J5" s="11">
        <v>1200000</v>
      </c>
      <c r="K5" s="11">
        <v>42000</v>
      </c>
      <c r="L5" s="19">
        <f>IF(OR(C5="",D5="",E5=""),"",IFERROR((D5*100*(1+E5/(258.6-E5/258.2*227.1))*E5/100)/(C5*'1 Profile'!$E$13),""))</f>
        <v>0.92044485215580119</v>
      </c>
      <c r="M5" s="19">
        <f t="shared" ref="M5:M16" si="0">IF(OR(D5="",G5=""),"",1-G5/D5)</f>
        <v>8.256880733944949E-2</v>
      </c>
      <c r="N5" s="27">
        <f t="shared" ref="N5:N16" si="1">IF(OR(I5="",G5="",G5=0),"",I5/G5)</f>
        <v>9.5</v>
      </c>
      <c r="O5" s="28">
        <f t="shared" ref="O5:O16" si="2">IF(OR(J5="",G5="",G5=0),"",J5/G5)</f>
        <v>120</v>
      </c>
      <c r="P5" s="29">
        <f t="shared" ref="P5:P16" si="3">IF(OR(K5="",G5="",G5=0),"",K5/G5)</f>
        <v>4.2</v>
      </c>
    </row>
    <row r="6" spans="1:16" x14ac:dyDescent="0.2">
      <c r="A6" s="25"/>
      <c r="B6" s="11"/>
      <c r="C6" s="11"/>
      <c r="D6" s="11"/>
      <c r="E6" s="26"/>
      <c r="F6" s="11"/>
      <c r="G6" s="11"/>
      <c r="H6" s="11"/>
      <c r="I6" s="11"/>
      <c r="J6" s="11"/>
      <c r="K6" s="11"/>
      <c r="L6" s="19" t="str">
        <f>IF(OR(C6="",D6="",E6=""),"",IFERROR((D6*100*(1+E6/(258.6-E6/258.2*227.1))*E6/100)/(C6*'1 Profile'!$E$13),""))</f>
        <v/>
      </c>
      <c r="M6" s="19" t="str">
        <f t="shared" si="0"/>
        <v/>
      </c>
      <c r="N6" s="27" t="str">
        <f t="shared" si="1"/>
        <v/>
      </c>
      <c r="O6" s="28" t="str">
        <f t="shared" si="2"/>
        <v/>
      </c>
      <c r="P6" s="29" t="str">
        <f t="shared" si="3"/>
        <v/>
      </c>
    </row>
    <row r="7" spans="1:16" x14ac:dyDescent="0.2">
      <c r="A7" s="25"/>
      <c r="B7" s="11"/>
      <c r="C7" s="11"/>
      <c r="D7" s="11"/>
      <c r="E7" s="26"/>
      <c r="F7" s="11"/>
      <c r="G7" s="11"/>
      <c r="H7" s="11"/>
      <c r="I7" s="11"/>
      <c r="J7" s="11"/>
      <c r="K7" s="11"/>
      <c r="L7" s="19" t="str">
        <f>IF(OR(C7="",D7="",E7=""),"",IFERROR((D7*100*(1+E7/(258.6-E7/258.2*227.1))*E7/100)/(C7*'1 Profile'!$E$13),""))</f>
        <v/>
      </c>
      <c r="M7" s="19" t="str">
        <f t="shared" si="0"/>
        <v/>
      </c>
      <c r="N7" s="27" t="str">
        <f t="shared" si="1"/>
        <v/>
      </c>
      <c r="O7" s="28" t="str">
        <f t="shared" si="2"/>
        <v/>
      </c>
      <c r="P7" s="29" t="str">
        <f t="shared" si="3"/>
        <v/>
      </c>
    </row>
    <row r="8" spans="1:16" x14ac:dyDescent="0.2">
      <c r="A8" s="25"/>
      <c r="B8" s="11"/>
      <c r="C8" s="11"/>
      <c r="D8" s="11"/>
      <c r="E8" s="26"/>
      <c r="F8" s="11"/>
      <c r="G8" s="11"/>
      <c r="H8" s="11"/>
      <c r="I8" s="11"/>
      <c r="J8" s="11"/>
      <c r="K8" s="11"/>
      <c r="L8" s="19" t="str">
        <f>IF(OR(C8="",D8="",E8=""),"",IFERROR((D8*100*(1+E8/(258.6-E8/258.2*227.1))*E8/100)/(C8*'1 Profile'!$E$13),""))</f>
        <v/>
      </c>
      <c r="M8" s="19" t="str">
        <f t="shared" si="0"/>
        <v/>
      </c>
      <c r="N8" s="27" t="str">
        <f t="shared" si="1"/>
        <v/>
      </c>
      <c r="O8" s="28" t="str">
        <f t="shared" si="2"/>
        <v/>
      </c>
      <c r="P8" s="29" t="str">
        <f t="shared" si="3"/>
        <v/>
      </c>
    </row>
    <row r="9" spans="1:16" x14ac:dyDescent="0.2">
      <c r="A9" s="25"/>
      <c r="B9" s="11"/>
      <c r="C9" s="11"/>
      <c r="D9" s="11"/>
      <c r="E9" s="26"/>
      <c r="F9" s="11"/>
      <c r="G9" s="11"/>
      <c r="H9" s="11"/>
      <c r="I9" s="11"/>
      <c r="J9" s="11"/>
      <c r="K9" s="11"/>
      <c r="L9" s="19" t="str">
        <f>IF(OR(C9="",D9="",E9=""),"",IFERROR((D9*100*(1+E9/(258.6-E9/258.2*227.1))*E9/100)/(C9*'1 Profile'!$E$13),""))</f>
        <v/>
      </c>
      <c r="M9" s="19" t="str">
        <f t="shared" si="0"/>
        <v/>
      </c>
      <c r="N9" s="27" t="str">
        <f t="shared" si="1"/>
        <v/>
      </c>
      <c r="O9" s="28" t="str">
        <f t="shared" si="2"/>
        <v/>
      </c>
      <c r="P9" s="29" t="str">
        <f t="shared" si="3"/>
        <v/>
      </c>
    </row>
    <row r="10" spans="1:16" x14ac:dyDescent="0.2">
      <c r="A10" s="25"/>
      <c r="B10" s="11"/>
      <c r="C10" s="11"/>
      <c r="D10" s="11"/>
      <c r="E10" s="26"/>
      <c r="F10" s="11"/>
      <c r="G10" s="11"/>
      <c r="H10" s="11"/>
      <c r="I10" s="11"/>
      <c r="J10" s="11"/>
      <c r="K10" s="11"/>
      <c r="L10" s="19" t="str">
        <f>IF(OR(C10="",D10="",E10=""),"",IFERROR((D10*100*(1+E10/(258.6-E10/258.2*227.1))*E10/100)/(C10*'1 Profile'!$E$13),""))</f>
        <v/>
      </c>
      <c r="M10" s="19" t="str">
        <f t="shared" si="0"/>
        <v/>
      </c>
      <c r="N10" s="27" t="str">
        <f t="shared" si="1"/>
        <v/>
      </c>
      <c r="O10" s="28" t="str">
        <f t="shared" si="2"/>
        <v/>
      </c>
      <c r="P10" s="29" t="str">
        <f t="shared" si="3"/>
        <v/>
      </c>
    </row>
    <row r="11" spans="1:16" x14ac:dyDescent="0.2">
      <c r="A11" s="25"/>
      <c r="B11" s="11"/>
      <c r="C11" s="11"/>
      <c r="D11" s="11"/>
      <c r="E11" s="26"/>
      <c r="F11" s="11"/>
      <c r="G11" s="11"/>
      <c r="H11" s="11"/>
      <c r="I11" s="11"/>
      <c r="J11" s="11"/>
      <c r="K11" s="11"/>
      <c r="L11" s="19" t="str">
        <f>IF(OR(C11="",D11="",E11=""),"",IFERROR((D11*100*(1+E11/(258.6-E11/258.2*227.1))*E11/100)/(C11*'1 Profile'!$E$13),""))</f>
        <v/>
      </c>
      <c r="M11" s="19" t="str">
        <f t="shared" si="0"/>
        <v/>
      </c>
      <c r="N11" s="27" t="str">
        <f t="shared" si="1"/>
        <v/>
      </c>
      <c r="O11" s="28" t="str">
        <f t="shared" si="2"/>
        <v/>
      </c>
      <c r="P11" s="29" t="str">
        <f t="shared" si="3"/>
        <v/>
      </c>
    </row>
    <row r="12" spans="1:16" x14ac:dyDescent="0.2">
      <c r="A12" s="25"/>
      <c r="B12" s="11"/>
      <c r="C12" s="11"/>
      <c r="D12" s="11"/>
      <c r="E12" s="26"/>
      <c r="F12" s="11"/>
      <c r="G12" s="11"/>
      <c r="H12" s="11"/>
      <c r="I12" s="11"/>
      <c r="J12" s="11"/>
      <c r="K12" s="11"/>
      <c r="L12" s="19" t="str">
        <f>IF(OR(C12="",D12="",E12=""),"",IFERROR((D12*100*(1+E12/(258.6-E12/258.2*227.1))*E12/100)/(C12*'1 Profile'!$E$13),""))</f>
        <v/>
      </c>
      <c r="M12" s="19" t="str">
        <f t="shared" si="0"/>
        <v/>
      </c>
      <c r="N12" s="27" t="str">
        <f t="shared" si="1"/>
        <v/>
      </c>
      <c r="O12" s="28" t="str">
        <f t="shared" si="2"/>
        <v/>
      </c>
      <c r="P12" s="29" t="str">
        <f t="shared" si="3"/>
        <v/>
      </c>
    </row>
    <row r="13" spans="1:16" x14ac:dyDescent="0.2">
      <c r="A13" s="25"/>
      <c r="B13" s="11"/>
      <c r="C13" s="11"/>
      <c r="D13" s="11"/>
      <c r="E13" s="26"/>
      <c r="F13" s="11"/>
      <c r="G13" s="11"/>
      <c r="H13" s="11"/>
      <c r="I13" s="11"/>
      <c r="J13" s="11"/>
      <c r="K13" s="11"/>
      <c r="L13" s="19" t="str">
        <f>IF(OR(C13="",D13="",E13=""),"",IFERROR((D13*100*(1+E13/(258.6-E13/258.2*227.1))*E13/100)/(C13*'1 Profile'!$E$13),""))</f>
        <v/>
      </c>
      <c r="M13" s="19" t="str">
        <f t="shared" si="0"/>
        <v/>
      </c>
      <c r="N13" s="27" t="str">
        <f t="shared" si="1"/>
        <v/>
      </c>
      <c r="O13" s="28" t="str">
        <f t="shared" si="2"/>
        <v/>
      </c>
      <c r="P13" s="29" t="str">
        <f t="shared" si="3"/>
        <v/>
      </c>
    </row>
    <row r="14" spans="1:16" x14ac:dyDescent="0.2">
      <c r="A14" s="25"/>
      <c r="B14" s="11"/>
      <c r="C14" s="11"/>
      <c r="D14" s="11"/>
      <c r="E14" s="26"/>
      <c r="F14" s="11"/>
      <c r="G14" s="11"/>
      <c r="H14" s="11"/>
      <c r="I14" s="11"/>
      <c r="J14" s="11"/>
      <c r="K14" s="11"/>
      <c r="L14" s="19" t="str">
        <f>IF(OR(C14="",D14="",E14=""),"",IFERROR((D14*100*(1+E14/(258.6-E14/258.2*227.1))*E14/100)/(C14*'1 Profile'!$E$13),""))</f>
        <v/>
      </c>
      <c r="M14" s="19" t="str">
        <f t="shared" si="0"/>
        <v/>
      </c>
      <c r="N14" s="27" t="str">
        <f t="shared" si="1"/>
        <v/>
      </c>
      <c r="O14" s="28" t="str">
        <f t="shared" si="2"/>
        <v/>
      </c>
      <c r="P14" s="29" t="str">
        <f t="shared" si="3"/>
        <v/>
      </c>
    </row>
    <row r="15" spans="1:16" x14ac:dyDescent="0.2">
      <c r="A15" s="25"/>
      <c r="B15" s="11"/>
      <c r="C15" s="11"/>
      <c r="D15" s="11"/>
      <c r="E15" s="26"/>
      <c r="F15" s="11"/>
      <c r="G15" s="11"/>
      <c r="H15" s="11"/>
      <c r="I15" s="11"/>
      <c r="J15" s="11"/>
      <c r="K15" s="11"/>
      <c r="L15" s="19" t="str">
        <f>IF(OR(C15="",D15="",E15=""),"",IFERROR((D15*100*(1+E15/(258.6-E15/258.2*227.1))*E15/100)/(C15*'1 Profile'!$E$13),""))</f>
        <v/>
      </c>
      <c r="M15" s="19" t="str">
        <f t="shared" si="0"/>
        <v/>
      </c>
      <c r="N15" s="27" t="str">
        <f t="shared" si="1"/>
        <v/>
      </c>
      <c r="O15" s="28" t="str">
        <f t="shared" si="2"/>
        <v/>
      </c>
      <c r="P15" s="29" t="str">
        <f t="shared" si="3"/>
        <v/>
      </c>
    </row>
    <row r="16" spans="1:16" x14ac:dyDescent="0.2">
      <c r="A16" s="25"/>
      <c r="B16" s="11"/>
      <c r="C16" s="11"/>
      <c r="D16" s="11"/>
      <c r="E16" s="26"/>
      <c r="F16" s="11"/>
      <c r="G16" s="11"/>
      <c r="H16" s="11"/>
      <c r="I16" s="11"/>
      <c r="J16" s="11"/>
      <c r="K16" s="11"/>
      <c r="L16" s="19" t="str">
        <f>IF(OR(C16="",D16="",E16=""),"",IFERROR((D16*100*(1+E16/(258.6-E16/258.2*227.1))*E16/100)/(C16*'1 Profile'!$E$13),""))</f>
        <v/>
      </c>
      <c r="M16" s="19" t="str">
        <f t="shared" si="0"/>
        <v/>
      </c>
      <c r="N16" s="27" t="str">
        <f t="shared" si="1"/>
        <v/>
      </c>
      <c r="O16" s="28" t="str">
        <f t="shared" si="2"/>
        <v/>
      </c>
      <c r="P16" s="29" t="str">
        <f t="shared" si="3"/>
        <v/>
      </c>
    </row>
    <row r="17" spans="1:16" ht="16" x14ac:dyDescent="0.2">
      <c r="A17" s="3" t="s">
        <v>168</v>
      </c>
      <c r="B17" s="30">
        <f t="shared" ref="B17:P17" si="4">IFERROR(AVERAGE(B5:B16),"")</f>
        <v>78</v>
      </c>
      <c r="C17" s="30">
        <f t="shared" si="4"/>
        <v>191000</v>
      </c>
      <c r="D17" s="30">
        <f t="shared" si="4"/>
        <v>10900</v>
      </c>
      <c r="E17" s="31">
        <f t="shared" si="4"/>
        <v>12</v>
      </c>
      <c r="F17" s="30">
        <f t="shared" si="4"/>
        <v>10400</v>
      </c>
      <c r="G17" s="30">
        <f t="shared" si="4"/>
        <v>10000</v>
      </c>
      <c r="H17" s="30">
        <f t="shared" si="4"/>
        <v>20</v>
      </c>
      <c r="I17" s="30">
        <f t="shared" si="4"/>
        <v>95000</v>
      </c>
      <c r="J17" s="30">
        <f t="shared" si="4"/>
        <v>1200000</v>
      </c>
      <c r="K17" s="30">
        <f t="shared" si="4"/>
        <v>42000</v>
      </c>
      <c r="L17" s="32">
        <f t="shared" si="4"/>
        <v>0.92044485215580119</v>
      </c>
      <c r="M17" s="32">
        <f t="shared" si="4"/>
        <v>8.256880733944949E-2</v>
      </c>
      <c r="N17" s="31">
        <f t="shared" si="4"/>
        <v>9.5</v>
      </c>
      <c r="O17" s="33">
        <f t="shared" si="4"/>
        <v>120</v>
      </c>
      <c r="P17" s="34">
        <f t="shared" si="4"/>
        <v>4.2</v>
      </c>
    </row>
    <row r="19" spans="1:16" x14ac:dyDescent="0.2">
      <c r="A19" s="40" t="s">
        <v>169</v>
      </c>
      <c r="B19" s="41"/>
      <c r="C19" s="41"/>
      <c r="D19" s="41"/>
      <c r="E19" s="41"/>
      <c r="F19" s="41"/>
      <c r="G19" s="41"/>
      <c r="H19" s="41"/>
      <c r="I19" s="41"/>
      <c r="J19" s="41"/>
      <c r="K19" s="41"/>
      <c r="L19" s="41"/>
      <c r="M19" s="41"/>
      <c r="N19" s="41"/>
      <c r="O19" s="41"/>
      <c r="P19" s="41"/>
    </row>
    <row r="20" spans="1:16" x14ac:dyDescent="0.2">
      <c r="A20" s="41"/>
      <c r="B20" s="41"/>
      <c r="C20" s="41"/>
      <c r="D20" s="41"/>
      <c r="E20" s="41"/>
      <c r="F20" s="41"/>
      <c r="G20" s="41"/>
      <c r="H20" s="41"/>
      <c r="I20" s="41"/>
      <c r="J20" s="41"/>
      <c r="K20" s="41"/>
      <c r="L20" s="41"/>
      <c r="M20" s="41"/>
      <c r="N20" s="41"/>
      <c r="O20" s="41"/>
      <c r="P20" s="41"/>
    </row>
    <row r="21" spans="1:16" x14ac:dyDescent="0.2">
      <c r="A21" s="41"/>
      <c r="B21" s="41"/>
      <c r="C21" s="41"/>
      <c r="D21" s="41"/>
      <c r="E21" s="41"/>
      <c r="F21" s="41"/>
      <c r="G21" s="41"/>
      <c r="H21" s="41"/>
      <c r="I21" s="41"/>
      <c r="J21" s="41"/>
      <c r="K21" s="41"/>
      <c r="L21" s="41"/>
      <c r="M21" s="41"/>
      <c r="N21" s="41"/>
      <c r="O21" s="41"/>
      <c r="P21" s="41"/>
    </row>
  </sheetData>
  <mergeCells count="1">
    <mergeCell ref="A19:P2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A0A0A"/>
  </sheetPr>
  <dimension ref="A1:C24"/>
  <sheetViews>
    <sheetView showGridLines="0" workbookViewId="0"/>
  </sheetViews>
  <sheetFormatPr baseColWidth="10" defaultColWidth="8.83203125" defaultRowHeight="15" x14ac:dyDescent="0.2"/>
  <cols>
    <col min="1" max="1" width="38" customWidth="1"/>
    <col min="2" max="2" width="18" customWidth="1"/>
    <col min="3" max="3" width="62" customWidth="1"/>
  </cols>
  <sheetData>
    <row r="1" spans="1:3" ht="28" customHeight="1" x14ac:dyDescent="0.25">
      <c r="A1" s="5" t="s">
        <v>170</v>
      </c>
    </row>
    <row r="2" spans="1:3" x14ac:dyDescent="0.2">
      <c r="A2" s="2" t="s">
        <v>171</v>
      </c>
    </row>
    <row r="4" spans="1:3" ht="30" customHeight="1" x14ac:dyDescent="0.2">
      <c r="A4" s="6" t="s">
        <v>172</v>
      </c>
      <c r="B4" s="6" t="s">
        <v>173</v>
      </c>
      <c r="C4" s="6" t="s">
        <v>174</v>
      </c>
    </row>
    <row r="5" spans="1:3" ht="28" x14ac:dyDescent="0.2">
      <c r="A5" s="7" t="s">
        <v>175</v>
      </c>
      <c r="B5" s="17">
        <v>0.01</v>
      </c>
      <c r="C5" s="7" t="s">
        <v>176</v>
      </c>
    </row>
    <row r="6" spans="1:3" ht="28" x14ac:dyDescent="0.2">
      <c r="A6" s="7" t="s">
        <v>177</v>
      </c>
      <c r="B6" s="17">
        <v>0.01</v>
      </c>
      <c r="C6" s="7" t="s">
        <v>178</v>
      </c>
    </row>
    <row r="7" spans="1:3" ht="28" x14ac:dyDescent="0.2">
      <c r="A7" s="7" t="s">
        <v>179</v>
      </c>
      <c r="B7" s="35">
        <v>0.05</v>
      </c>
      <c r="C7" s="7" t="s">
        <v>180</v>
      </c>
    </row>
    <row r="8" spans="1:3" x14ac:dyDescent="0.2">
      <c r="A8" s="7" t="s">
        <v>181</v>
      </c>
      <c r="B8" s="17">
        <v>2E-3</v>
      </c>
      <c r="C8" s="7" t="s">
        <v>182</v>
      </c>
    </row>
    <row r="9" spans="1:3" x14ac:dyDescent="0.2">
      <c r="A9" s="7" t="s">
        <v>183</v>
      </c>
      <c r="B9" s="35">
        <v>0.75</v>
      </c>
      <c r="C9" s="7" t="s">
        <v>184</v>
      </c>
    </row>
    <row r="11" spans="1:3" ht="30" customHeight="1" x14ac:dyDescent="0.2">
      <c r="A11" s="6" t="s">
        <v>185</v>
      </c>
      <c r="B11" s="6" t="s">
        <v>186</v>
      </c>
      <c r="C11" s="6" t="s">
        <v>187</v>
      </c>
    </row>
    <row r="12" spans="1:3" x14ac:dyDescent="0.2">
      <c r="A12" s="7" t="s">
        <v>188</v>
      </c>
      <c r="B12" s="36">
        <f>IFERROR('1 Profile'!$E$7*$B$5*'1 Profile'!$E$14,0)</f>
        <v>2400000</v>
      </c>
      <c r="C12" s="7" t="s">
        <v>189</v>
      </c>
    </row>
    <row r="13" spans="1:3" x14ac:dyDescent="0.2">
      <c r="A13" s="7" t="s">
        <v>190</v>
      </c>
      <c r="B13" s="36">
        <f>IFERROR(('1 Profile'!$E$11*'1 Profile'!$E$12)*$B$6/IF('1 Profile'!$E$16="",IFERROR('4 Baseline'!L17,0.9),'1 Profile'!$E$16),0)</f>
        <v>1027173.9130434783</v>
      </c>
      <c r="C13" s="7" t="s">
        <v>191</v>
      </c>
    </row>
    <row r="14" spans="1:3" x14ac:dyDescent="0.2">
      <c r="A14" s="7" t="s">
        <v>192</v>
      </c>
      <c r="B14" s="36">
        <f>IFERROR('1 Profile'!$E$7*'1 Profile'!$E$15*$B$7,0)</f>
        <v>1200000</v>
      </c>
      <c r="C14" s="7" t="s">
        <v>193</v>
      </c>
    </row>
    <row r="15" spans="1:3" x14ac:dyDescent="0.2">
      <c r="A15" s="7" t="s">
        <v>194</v>
      </c>
      <c r="B15" s="36">
        <f>IFERROR('1 Profile'!$E$7*$B$8*'1 Profile'!$E$14,0)</f>
        <v>480000</v>
      </c>
      <c r="C15" s="7" t="s">
        <v>195</v>
      </c>
    </row>
    <row r="16" spans="1:3" x14ac:dyDescent="0.2">
      <c r="A16" s="7" t="s">
        <v>196</v>
      </c>
      <c r="B16" s="36">
        <f>IFERROR(('1 Profile'!$E$17*52*'1 Profile'!$E$18)*$B$9,0)</f>
        <v>468000</v>
      </c>
      <c r="C16" s="7" t="s">
        <v>197</v>
      </c>
    </row>
    <row r="17" spans="1:3" x14ac:dyDescent="0.2">
      <c r="A17" s="37" t="s">
        <v>198</v>
      </c>
      <c r="B17" s="38">
        <f>SUM(B12:B16)</f>
        <v>5575173.9130434785</v>
      </c>
    </row>
    <row r="18" spans="1:3" x14ac:dyDescent="0.2">
      <c r="A18" s="7" t="s">
        <v>199</v>
      </c>
      <c r="B18" s="36">
        <f>B17/2</f>
        <v>2787586.9565217393</v>
      </c>
    </row>
    <row r="19" spans="1:3" x14ac:dyDescent="0.2">
      <c r="A19" s="7" t="s">
        <v>200</v>
      </c>
      <c r="B19" s="36">
        <f>B17*2.5</f>
        <v>13937934.782608695</v>
      </c>
    </row>
    <row r="21" spans="1:3" x14ac:dyDescent="0.2">
      <c r="A21" s="40" t="s">
        <v>201</v>
      </c>
      <c r="B21" s="41"/>
      <c r="C21" s="41"/>
    </row>
    <row r="22" spans="1:3" x14ac:dyDescent="0.2">
      <c r="A22" s="41"/>
      <c r="B22" s="41"/>
      <c r="C22" s="41"/>
    </row>
    <row r="23" spans="1:3" x14ac:dyDescent="0.2">
      <c r="A23" s="41"/>
      <c r="B23" s="41"/>
      <c r="C23" s="41"/>
    </row>
    <row r="24" spans="1:3" x14ac:dyDescent="0.2">
      <c r="A24" s="41"/>
      <c r="B24" s="41"/>
      <c r="C24" s="41"/>
    </row>
  </sheetData>
  <mergeCells count="1">
    <mergeCell ref="A21:C24"/>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5E003"/>
  </sheetPr>
  <dimension ref="A1:H225"/>
  <sheetViews>
    <sheetView showGridLines="0"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8" customWidth="1"/>
    <col min="2" max="2" width="30" customWidth="1"/>
    <col min="3" max="3" width="56" customWidth="1"/>
    <col min="4" max="4" width="34" customWidth="1"/>
    <col min="5" max="5" width="13" customWidth="1"/>
    <col min="6" max="7" width="14" customWidth="1"/>
    <col min="8" max="8" width="10" customWidth="1"/>
  </cols>
  <sheetData>
    <row r="1" spans="1:8" ht="28" customHeight="1" x14ac:dyDescent="0.25">
      <c r="A1" s="5" t="s">
        <v>202</v>
      </c>
    </row>
    <row r="2" spans="1:8" x14ac:dyDescent="0.2">
      <c r="A2" s="2" t="s">
        <v>203</v>
      </c>
    </row>
    <row r="4" spans="1:8" ht="30" customHeight="1" x14ac:dyDescent="0.2">
      <c r="A4" s="6" t="s">
        <v>204</v>
      </c>
      <c r="B4" s="6" t="s">
        <v>70</v>
      </c>
      <c r="C4" s="6" t="s">
        <v>205</v>
      </c>
      <c r="D4" s="6" t="s">
        <v>206</v>
      </c>
      <c r="E4" s="6" t="s">
        <v>207</v>
      </c>
      <c r="F4" s="6" t="s">
        <v>208</v>
      </c>
      <c r="G4" s="6" t="s">
        <v>209</v>
      </c>
      <c r="H4" s="6" t="s">
        <v>210</v>
      </c>
    </row>
    <row r="5" spans="1:8" x14ac:dyDescent="0.2">
      <c r="A5" s="7">
        <v>1</v>
      </c>
      <c r="B5" s="7" t="s">
        <v>78</v>
      </c>
      <c r="C5" s="7" t="s">
        <v>211</v>
      </c>
      <c r="D5" s="7" t="s">
        <v>212</v>
      </c>
      <c r="E5" s="7" t="s">
        <v>213</v>
      </c>
      <c r="F5" s="20">
        <v>3</v>
      </c>
      <c r="G5" s="20">
        <v>2</v>
      </c>
      <c r="H5" s="7">
        <f t="shared" ref="H5:H68" si="0">IF(OR(F5="",G5=""),"",F5*G5)</f>
        <v>6</v>
      </c>
    </row>
    <row r="6" spans="1:8" x14ac:dyDescent="0.2">
      <c r="A6" s="7">
        <v>2</v>
      </c>
      <c r="B6" s="7" t="s">
        <v>78</v>
      </c>
      <c r="C6" s="7" t="s">
        <v>214</v>
      </c>
      <c r="D6" s="7" t="s">
        <v>215</v>
      </c>
      <c r="E6" s="7" t="s">
        <v>213</v>
      </c>
      <c r="F6" s="20"/>
      <c r="G6" s="20"/>
      <c r="H6" s="7" t="str">
        <f t="shared" si="0"/>
        <v/>
      </c>
    </row>
    <row r="7" spans="1:8" x14ac:dyDescent="0.2">
      <c r="A7" s="7">
        <v>3</v>
      </c>
      <c r="B7" s="7" t="s">
        <v>78</v>
      </c>
      <c r="C7" s="7" t="s">
        <v>216</v>
      </c>
      <c r="D7" s="7" t="s">
        <v>217</v>
      </c>
      <c r="E7" s="7" t="s">
        <v>213</v>
      </c>
      <c r="F7" s="20"/>
      <c r="G7" s="20"/>
      <c r="H7" s="7" t="str">
        <f t="shared" si="0"/>
        <v/>
      </c>
    </row>
    <row r="8" spans="1:8" x14ac:dyDescent="0.2">
      <c r="A8" s="7">
        <v>4</v>
      </c>
      <c r="B8" s="7" t="s">
        <v>78</v>
      </c>
      <c r="C8" s="7" t="s">
        <v>218</v>
      </c>
      <c r="D8" s="7" t="s">
        <v>219</v>
      </c>
      <c r="E8" s="7" t="s">
        <v>213</v>
      </c>
      <c r="F8" s="20"/>
      <c r="G8" s="20"/>
      <c r="H8" s="7" t="str">
        <f t="shared" si="0"/>
        <v/>
      </c>
    </row>
    <row r="9" spans="1:8" x14ac:dyDescent="0.2">
      <c r="A9" s="7">
        <v>5</v>
      </c>
      <c r="B9" s="7" t="s">
        <v>78</v>
      </c>
      <c r="C9" s="7" t="s">
        <v>220</v>
      </c>
      <c r="D9" s="7" t="s">
        <v>221</v>
      </c>
      <c r="E9" s="7" t="s">
        <v>213</v>
      </c>
      <c r="F9" s="20"/>
      <c r="G9" s="20"/>
      <c r="H9" s="7" t="str">
        <f t="shared" si="0"/>
        <v/>
      </c>
    </row>
    <row r="10" spans="1:8" x14ac:dyDescent="0.2">
      <c r="A10" s="7">
        <v>6</v>
      </c>
      <c r="B10" s="7" t="s">
        <v>78</v>
      </c>
      <c r="C10" s="7" t="s">
        <v>222</v>
      </c>
      <c r="D10" s="7" t="s">
        <v>223</v>
      </c>
      <c r="E10" s="7" t="s">
        <v>213</v>
      </c>
      <c r="F10" s="20"/>
      <c r="G10" s="20"/>
      <c r="H10" s="7" t="str">
        <f t="shared" si="0"/>
        <v/>
      </c>
    </row>
    <row r="11" spans="1:8" x14ac:dyDescent="0.2">
      <c r="A11" s="7">
        <v>7</v>
      </c>
      <c r="B11" s="7" t="s">
        <v>78</v>
      </c>
      <c r="C11" s="7" t="s">
        <v>224</v>
      </c>
      <c r="D11" s="7" t="s">
        <v>225</v>
      </c>
      <c r="E11" s="7" t="s">
        <v>226</v>
      </c>
      <c r="F11" s="20"/>
      <c r="G11" s="20"/>
      <c r="H11" s="7" t="str">
        <f t="shared" si="0"/>
        <v/>
      </c>
    </row>
    <row r="12" spans="1:8" x14ac:dyDescent="0.2">
      <c r="A12" s="7">
        <v>8</v>
      </c>
      <c r="B12" s="7" t="s">
        <v>78</v>
      </c>
      <c r="C12" s="7" t="s">
        <v>227</v>
      </c>
      <c r="D12" s="7" t="s">
        <v>228</v>
      </c>
      <c r="E12" s="7" t="s">
        <v>226</v>
      </c>
      <c r="F12" s="20"/>
      <c r="G12" s="20"/>
      <c r="H12" s="7" t="str">
        <f t="shared" si="0"/>
        <v/>
      </c>
    </row>
    <row r="13" spans="1:8" x14ac:dyDescent="0.2">
      <c r="A13" s="7">
        <v>9</v>
      </c>
      <c r="B13" s="7" t="s">
        <v>78</v>
      </c>
      <c r="C13" s="7" t="s">
        <v>229</v>
      </c>
      <c r="D13" s="7" t="s">
        <v>230</v>
      </c>
      <c r="E13" s="7" t="s">
        <v>226</v>
      </c>
      <c r="F13" s="20"/>
      <c r="G13" s="20"/>
      <c r="H13" s="7" t="str">
        <f t="shared" si="0"/>
        <v/>
      </c>
    </row>
    <row r="14" spans="1:8" x14ac:dyDescent="0.2">
      <c r="A14" s="7">
        <v>10</v>
      </c>
      <c r="B14" s="7" t="s">
        <v>78</v>
      </c>
      <c r="C14" s="7" t="s">
        <v>231</v>
      </c>
      <c r="D14" s="7" t="s">
        <v>232</v>
      </c>
      <c r="E14" s="7" t="s">
        <v>213</v>
      </c>
      <c r="F14" s="20"/>
      <c r="G14" s="20"/>
      <c r="H14" s="7" t="str">
        <f t="shared" si="0"/>
        <v/>
      </c>
    </row>
    <row r="15" spans="1:8" x14ac:dyDescent="0.2">
      <c r="A15" s="7">
        <v>11</v>
      </c>
      <c r="B15" s="7" t="s">
        <v>78</v>
      </c>
      <c r="C15" s="7" t="s">
        <v>233</v>
      </c>
      <c r="D15" s="7" t="s">
        <v>234</v>
      </c>
      <c r="E15" s="7" t="s">
        <v>226</v>
      </c>
      <c r="F15" s="20"/>
      <c r="G15" s="20"/>
      <c r="H15" s="7" t="str">
        <f t="shared" si="0"/>
        <v/>
      </c>
    </row>
    <row r="16" spans="1:8" x14ac:dyDescent="0.2">
      <c r="A16" s="7">
        <v>12</v>
      </c>
      <c r="B16" s="7" t="s">
        <v>78</v>
      </c>
      <c r="C16" s="7" t="s">
        <v>235</v>
      </c>
      <c r="D16" s="7" t="s">
        <v>236</v>
      </c>
      <c r="E16" s="7" t="s">
        <v>213</v>
      </c>
      <c r="F16" s="20"/>
      <c r="G16" s="20"/>
      <c r="H16" s="7" t="str">
        <f t="shared" si="0"/>
        <v/>
      </c>
    </row>
    <row r="17" spans="1:8" x14ac:dyDescent="0.2">
      <c r="A17" s="7">
        <v>13</v>
      </c>
      <c r="B17" s="7" t="s">
        <v>78</v>
      </c>
      <c r="C17" s="7" t="s">
        <v>237</v>
      </c>
      <c r="D17" s="7" t="s">
        <v>238</v>
      </c>
      <c r="E17" s="7" t="s">
        <v>213</v>
      </c>
      <c r="F17" s="20"/>
      <c r="G17" s="20"/>
      <c r="H17" s="7" t="str">
        <f t="shared" si="0"/>
        <v/>
      </c>
    </row>
    <row r="18" spans="1:8" x14ac:dyDescent="0.2">
      <c r="A18" s="7">
        <v>14</v>
      </c>
      <c r="B18" s="7" t="s">
        <v>78</v>
      </c>
      <c r="C18" s="7" t="s">
        <v>239</v>
      </c>
      <c r="D18" s="7" t="s">
        <v>240</v>
      </c>
      <c r="E18" s="7" t="s">
        <v>213</v>
      </c>
      <c r="F18" s="20"/>
      <c r="G18" s="20"/>
      <c r="H18" s="7" t="str">
        <f t="shared" si="0"/>
        <v/>
      </c>
    </row>
    <row r="19" spans="1:8" x14ac:dyDescent="0.2">
      <c r="A19" s="7">
        <v>15</v>
      </c>
      <c r="B19" s="7" t="s">
        <v>78</v>
      </c>
      <c r="C19" s="7" t="s">
        <v>241</v>
      </c>
      <c r="D19" s="7" t="s">
        <v>242</v>
      </c>
      <c r="E19" s="7" t="s">
        <v>226</v>
      </c>
      <c r="F19" s="20"/>
      <c r="G19" s="20"/>
      <c r="H19" s="7" t="str">
        <f t="shared" si="0"/>
        <v/>
      </c>
    </row>
    <row r="20" spans="1:8" x14ac:dyDescent="0.2">
      <c r="A20" s="7">
        <v>16</v>
      </c>
      <c r="B20" s="7" t="s">
        <v>78</v>
      </c>
      <c r="C20" s="7" t="s">
        <v>243</v>
      </c>
      <c r="D20" s="7" t="s">
        <v>244</v>
      </c>
      <c r="E20" s="7" t="s">
        <v>213</v>
      </c>
      <c r="F20" s="20"/>
      <c r="G20" s="20"/>
      <c r="H20" s="7" t="str">
        <f t="shared" si="0"/>
        <v/>
      </c>
    </row>
    <row r="21" spans="1:8" x14ac:dyDescent="0.2">
      <c r="A21" s="7">
        <v>17</v>
      </c>
      <c r="B21" s="7" t="s">
        <v>78</v>
      </c>
      <c r="C21" s="7" t="s">
        <v>245</v>
      </c>
      <c r="D21" s="7" t="s">
        <v>246</v>
      </c>
      <c r="E21" s="7" t="s">
        <v>226</v>
      </c>
      <c r="F21" s="20"/>
      <c r="G21" s="20"/>
      <c r="H21" s="7" t="str">
        <f t="shared" si="0"/>
        <v/>
      </c>
    </row>
    <row r="22" spans="1:8" x14ac:dyDescent="0.2">
      <c r="A22" s="7">
        <v>18</v>
      </c>
      <c r="B22" s="7" t="s">
        <v>78</v>
      </c>
      <c r="C22" s="7" t="s">
        <v>247</v>
      </c>
      <c r="D22" s="7" t="s">
        <v>248</v>
      </c>
      <c r="E22" s="7" t="s">
        <v>226</v>
      </c>
      <c r="F22" s="20"/>
      <c r="G22" s="20"/>
      <c r="H22" s="7" t="str">
        <f t="shared" si="0"/>
        <v/>
      </c>
    </row>
    <row r="23" spans="1:8" x14ac:dyDescent="0.2">
      <c r="A23" s="7">
        <v>19</v>
      </c>
      <c r="B23" s="7" t="s">
        <v>78</v>
      </c>
      <c r="C23" s="7" t="s">
        <v>249</v>
      </c>
      <c r="D23" s="7" t="s">
        <v>250</v>
      </c>
      <c r="E23" s="7" t="s">
        <v>213</v>
      </c>
      <c r="F23" s="20"/>
      <c r="G23" s="20"/>
      <c r="H23" s="7" t="str">
        <f t="shared" si="0"/>
        <v/>
      </c>
    </row>
    <row r="24" spans="1:8" x14ac:dyDescent="0.2">
      <c r="A24" s="7">
        <v>20</v>
      </c>
      <c r="B24" s="7" t="s">
        <v>78</v>
      </c>
      <c r="C24" s="7" t="s">
        <v>251</v>
      </c>
      <c r="D24" s="7" t="s">
        <v>252</v>
      </c>
      <c r="E24" s="7" t="s">
        <v>253</v>
      </c>
      <c r="F24" s="20"/>
      <c r="G24" s="20"/>
      <c r="H24" s="7" t="str">
        <f t="shared" si="0"/>
        <v/>
      </c>
    </row>
    <row r="25" spans="1:8" x14ac:dyDescent="0.2">
      <c r="A25" s="7">
        <v>21</v>
      </c>
      <c r="B25" s="7" t="s">
        <v>88</v>
      </c>
      <c r="C25" s="7" t="s">
        <v>254</v>
      </c>
      <c r="D25" s="7" t="s">
        <v>255</v>
      </c>
      <c r="E25" s="7" t="s">
        <v>213</v>
      </c>
      <c r="F25" s="20"/>
      <c r="G25" s="20"/>
      <c r="H25" s="7" t="str">
        <f t="shared" si="0"/>
        <v/>
      </c>
    </row>
    <row r="26" spans="1:8" x14ac:dyDescent="0.2">
      <c r="A26" s="7">
        <v>22</v>
      </c>
      <c r="B26" s="7" t="s">
        <v>88</v>
      </c>
      <c r="C26" s="7" t="s">
        <v>256</v>
      </c>
      <c r="D26" s="7" t="s">
        <v>257</v>
      </c>
      <c r="E26" s="7" t="s">
        <v>226</v>
      </c>
      <c r="F26" s="20"/>
      <c r="G26" s="20"/>
      <c r="H26" s="7" t="str">
        <f t="shared" si="0"/>
        <v/>
      </c>
    </row>
    <row r="27" spans="1:8" x14ac:dyDescent="0.2">
      <c r="A27" s="7">
        <v>23</v>
      </c>
      <c r="B27" s="7" t="s">
        <v>88</v>
      </c>
      <c r="C27" s="7" t="s">
        <v>258</v>
      </c>
      <c r="D27" s="7" t="s">
        <v>259</v>
      </c>
      <c r="E27" s="7" t="s">
        <v>226</v>
      </c>
      <c r="F27" s="20"/>
      <c r="G27" s="20"/>
      <c r="H27" s="7" t="str">
        <f t="shared" si="0"/>
        <v/>
      </c>
    </row>
    <row r="28" spans="1:8" x14ac:dyDescent="0.2">
      <c r="A28" s="7">
        <v>24</v>
      </c>
      <c r="B28" s="7" t="s">
        <v>88</v>
      </c>
      <c r="C28" s="7" t="s">
        <v>260</v>
      </c>
      <c r="D28" s="7" t="s">
        <v>261</v>
      </c>
      <c r="E28" s="7" t="s">
        <v>213</v>
      </c>
      <c r="F28" s="20"/>
      <c r="G28" s="20"/>
      <c r="H28" s="7" t="str">
        <f t="shared" si="0"/>
        <v/>
      </c>
    </row>
    <row r="29" spans="1:8" x14ac:dyDescent="0.2">
      <c r="A29" s="7">
        <v>25</v>
      </c>
      <c r="B29" s="7" t="s">
        <v>88</v>
      </c>
      <c r="C29" s="7" t="s">
        <v>262</v>
      </c>
      <c r="D29" s="7" t="s">
        <v>263</v>
      </c>
      <c r="E29" s="7" t="s">
        <v>226</v>
      </c>
      <c r="F29" s="20"/>
      <c r="G29" s="20"/>
      <c r="H29" s="7" t="str">
        <f t="shared" si="0"/>
        <v/>
      </c>
    </row>
    <row r="30" spans="1:8" x14ac:dyDescent="0.2">
      <c r="A30" s="7">
        <v>26</v>
      </c>
      <c r="B30" s="7" t="s">
        <v>88</v>
      </c>
      <c r="C30" s="7" t="s">
        <v>264</v>
      </c>
      <c r="D30" s="7" t="s">
        <v>265</v>
      </c>
      <c r="E30" s="7" t="s">
        <v>253</v>
      </c>
      <c r="F30" s="20"/>
      <c r="G30" s="20"/>
      <c r="H30" s="7" t="str">
        <f t="shared" si="0"/>
        <v/>
      </c>
    </row>
    <row r="31" spans="1:8" x14ac:dyDescent="0.2">
      <c r="A31" s="7">
        <v>27</v>
      </c>
      <c r="B31" s="7" t="s">
        <v>88</v>
      </c>
      <c r="C31" s="7" t="s">
        <v>266</v>
      </c>
      <c r="D31" s="7" t="s">
        <v>267</v>
      </c>
      <c r="E31" s="7" t="s">
        <v>226</v>
      </c>
      <c r="F31" s="20"/>
      <c r="G31" s="20"/>
      <c r="H31" s="7" t="str">
        <f t="shared" si="0"/>
        <v/>
      </c>
    </row>
    <row r="32" spans="1:8" x14ac:dyDescent="0.2">
      <c r="A32" s="7">
        <v>28</v>
      </c>
      <c r="B32" s="7" t="s">
        <v>88</v>
      </c>
      <c r="C32" s="7" t="s">
        <v>268</v>
      </c>
      <c r="D32" s="7" t="s">
        <v>269</v>
      </c>
      <c r="E32" s="7" t="s">
        <v>213</v>
      </c>
      <c r="F32" s="20"/>
      <c r="G32" s="20"/>
      <c r="H32" s="7" t="str">
        <f t="shared" si="0"/>
        <v/>
      </c>
    </row>
    <row r="33" spans="1:8" x14ac:dyDescent="0.2">
      <c r="A33" s="7">
        <v>29</v>
      </c>
      <c r="B33" s="7" t="s">
        <v>88</v>
      </c>
      <c r="C33" s="7" t="s">
        <v>270</v>
      </c>
      <c r="D33" s="7" t="s">
        <v>271</v>
      </c>
      <c r="E33" s="7" t="s">
        <v>226</v>
      </c>
      <c r="F33" s="20"/>
      <c r="G33" s="20"/>
      <c r="H33" s="7" t="str">
        <f t="shared" si="0"/>
        <v/>
      </c>
    </row>
    <row r="34" spans="1:8" x14ac:dyDescent="0.2">
      <c r="A34" s="7">
        <v>30</v>
      </c>
      <c r="B34" s="7" t="s">
        <v>88</v>
      </c>
      <c r="C34" s="7" t="s">
        <v>272</v>
      </c>
      <c r="D34" s="7" t="s">
        <v>273</v>
      </c>
      <c r="E34" s="7" t="s">
        <v>213</v>
      </c>
      <c r="F34" s="20"/>
      <c r="G34" s="20"/>
      <c r="H34" s="7" t="str">
        <f t="shared" si="0"/>
        <v/>
      </c>
    </row>
    <row r="35" spans="1:8" x14ac:dyDescent="0.2">
      <c r="A35" s="7">
        <v>31</v>
      </c>
      <c r="B35" s="7" t="s">
        <v>88</v>
      </c>
      <c r="C35" s="7" t="s">
        <v>274</v>
      </c>
      <c r="D35" s="7" t="s">
        <v>275</v>
      </c>
      <c r="E35" s="7" t="s">
        <v>213</v>
      </c>
      <c r="F35" s="20"/>
      <c r="G35" s="20"/>
      <c r="H35" s="7" t="str">
        <f t="shared" si="0"/>
        <v/>
      </c>
    </row>
    <row r="36" spans="1:8" x14ac:dyDescent="0.2">
      <c r="A36" s="7">
        <v>32</v>
      </c>
      <c r="B36" s="7" t="s">
        <v>88</v>
      </c>
      <c r="C36" s="7" t="s">
        <v>276</v>
      </c>
      <c r="D36" s="7" t="s">
        <v>277</v>
      </c>
      <c r="E36" s="7" t="s">
        <v>226</v>
      </c>
      <c r="F36" s="20"/>
      <c r="G36" s="20"/>
      <c r="H36" s="7" t="str">
        <f t="shared" si="0"/>
        <v/>
      </c>
    </row>
    <row r="37" spans="1:8" x14ac:dyDescent="0.2">
      <c r="A37" s="7">
        <v>33</v>
      </c>
      <c r="B37" s="7" t="s">
        <v>88</v>
      </c>
      <c r="C37" s="7" t="s">
        <v>278</v>
      </c>
      <c r="D37" s="7" t="s">
        <v>279</v>
      </c>
      <c r="E37" s="7" t="s">
        <v>226</v>
      </c>
      <c r="F37" s="20"/>
      <c r="G37" s="20"/>
      <c r="H37" s="7" t="str">
        <f t="shared" si="0"/>
        <v/>
      </c>
    </row>
    <row r="38" spans="1:8" x14ac:dyDescent="0.2">
      <c r="A38" s="7">
        <v>34</v>
      </c>
      <c r="B38" s="7" t="s">
        <v>88</v>
      </c>
      <c r="C38" s="7" t="s">
        <v>280</v>
      </c>
      <c r="D38" s="7" t="s">
        <v>281</v>
      </c>
      <c r="E38" s="7" t="s">
        <v>213</v>
      </c>
      <c r="F38" s="20"/>
      <c r="G38" s="20"/>
      <c r="H38" s="7" t="str">
        <f t="shared" si="0"/>
        <v/>
      </c>
    </row>
    <row r="39" spans="1:8" x14ac:dyDescent="0.2">
      <c r="A39" s="7">
        <v>35</v>
      </c>
      <c r="B39" s="7" t="s">
        <v>92</v>
      </c>
      <c r="C39" s="7" t="s">
        <v>282</v>
      </c>
      <c r="D39" s="7" t="s">
        <v>283</v>
      </c>
      <c r="E39" s="7" t="s">
        <v>226</v>
      </c>
      <c r="F39" s="20"/>
      <c r="G39" s="20"/>
      <c r="H39" s="7" t="str">
        <f t="shared" si="0"/>
        <v/>
      </c>
    </row>
    <row r="40" spans="1:8" x14ac:dyDescent="0.2">
      <c r="A40" s="7">
        <v>36</v>
      </c>
      <c r="B40" s="7" t="s">
        <v>92</v>
      </c>
      <c r="C40" s="7" t="s">
        <v>284</v>
      </c>
      <c r="D40" s="7" t="s">
        <v>285</v>
      </c>
      <c r="E40" s="7" t="s">
        <v>226</v>
      </c>
      <c r="F40" s="20"/>
      <c r="G40" s="20"/>
      <c r="H40" s="7" t="str">
        <f t="shared" si="0"/>
        <v/>
      </c>
    </row>
    <row r="41" spans="1:8" x14ac:dyDescent="0.2">
      <c r="A41" s="7">
        <v>37</v>
      </c>
      <c r="B41" s="7" t="s">
        <v>92</v>
      </c>
      <c r="C41" s="7" t="s">
        <v>286</v>
      </c>
      <c r="D41" s="7" t="s">
        <v>287</v>
      </c>
      <c r="E41" s="7" t="s">
        <v>226</v>
      </c>
      <c r="F41" s="20"/>
      <c r="G41" s="20"/>
      <c r="H41" s="7" t="str">
        <f t="shared" si="0"/>
        <v/>
      </c>
    </row>
    <row r="42" spans="1:8" x14ac:dyDescent="0.2">
      <c r="A42" s="7">
        <v>38</v>
      </c>
      <c r="B42" s="7" t="s">
        <v>92</v>
      </c>
      <c r="C42" s="7" t="s">
        <v>288</v>
      </c>
      <c r="D42" s="7" t="s">
        <v>289</v>
      </c>
      <c r="E42" s="7" t="s">
        <v>226</v>
      </c>
      <c r="F42" s="20"/>
      <c r="G42" s="20"/>
      <c r="H42" s="7" t="str">
        <f t="shared" si="0"/>
        <v/>
      </c>
    </row>
    <row r="43" spans="1:8" x14ac:dyDescent="0.2">
      <c r="A43" s="7">
        <v>39</v>
      </c>
      <c r="B43" s="7" t="s">
        <v>92</v>
      </c>
      <c r="C43" s="7" t="s">
        <v>290</v>
      </c>
      <c r="D43" s="7" t="s">
        <v>291</v>
      </c>
      <c r="E43" s="7" t="s">
        <v>226</v>
      </c>
      <c r="F43" s="20"/>
      <c r="G43" s="20"/>
      <c r="H43" s="7" t="str">
        <f t="shared" si="0"/>
        <v/>
      </c>
    </row>
    <row r="44" spans="1:8" x14ac:dyDescent="0.2">
      <c r="A44" s="7">
        <v>40</v>
      </c>
      <c r="B44" s="7" t="s">
        <v>92</v>
      </c>
      <c r="C44" s="7" t="s">
        <v>292</v>
      </c>
      <c r="D44" s="7" t="s">
        <v>293</v>
      </c>
      <c r="E44" s="7" t="s">
        <v>226</v>
      </c>
      <c r="F44" s="20"/>
      <c r="G44" s="20"/>
      <c r="H44" s="7" t="str">
        <f t="shared" si="0"/>
        <v/>
      </c>
    </row>
    <row r="45" spans="1:8" x14ac:dyDescent="0.2">
      <c r="A45" s="7">
        <v>41</v>
      </c>
      <c r="B45" s="7" t="s">
        <v>92</v>
      </c>
      <c r="C45" s="7" t="s">
        <v>294</v>
      </c>
      <c r="D45" s="7" t="s">
        <v>295</v>
      </c>
      <c r="E45" s="7" t="s">
        <v>226</v>
      </c>
      <c r="F45" s="20"/>
      <c r="G45" s="20"/>
      <c r="H45" s="7" t="str">
        <f t="shared" si="0"/>
        <v/>
      </c>
    </row>
    <row r="46" spans="1:8" x14ac:dyDescent="0.2">
      <c r="A46" s="7">
        <v>42</v>
      </c>
      <c r="B46" s="7" t="s">
        <v>92</v>
      </c>
      <c r="C46" s="7" t="s">
        <v>296</v>
      </c>
      <c r="D46" s="7" t="s">
        <v>297</v>
      </c>
      <c r="E46" s="7" t="s">
        <v>226</v>
      </c>
      <c r="F46" s="20"/>
      <c r="G46" s="20"/>
      <c r="H46" s="7" t="str">
        <f t="shared" si="0"/>
        <v/>
      </c>
    </row>
    <row r="47" spans="1:8" x14ac:dyDescent="0.2">
      <c r="A47" s="7">
        <v>43</v>
      </c>
      <c r="B47" s="7" t="s">
        <v>92</v>
      </c>
      <c r="C47" s="7" t="s">
        <v>298</v>
      </c>
      <c r="D47" s="7" t="s">
        <v>299</v>
      </c>
      <c r="E47" s="7" t="s">
        <v>226</v>
      </c>
      <c r="F47" s="20"/>
      <c r="G47" s="20"/>
      <c r="H47" s="7" t="str">
        <f t="shared" si="0"/>
        <v/>
      </c>
    </row>
    <row r="48" spans="1:8" x14ac:dyDescent="0.2">
      <c r="A48" s="7">
        <v>44</v>
      </c>
      <c r="B48" s="7" t="s">
        <v>92</v>
      </c>
      <c r="C48" s="7" t="s">
        <v>300</v>
      </c>
      <c r="D48" s="7" t="s">
        <v>301</v>
      </c>
      <c r="E48" s="7" t="s">
        <v>213</v>
      </c>
      <c r="F48" s="20"/>
      <c r="G48" s="20"/>
      <c r="H48" s="7" t="str">
        <f t="shared" si="0"/>
        <v/>
      </c>
    </row>
    <row r="49" spans="1:8" x14ac:dyDescent="0.2">
      <c r="A49" s="7">
        <v>45</v>
      </c>
      <c r="B49" s="7" t="s">
        <v>92</v>
      </c>
      <c r="C49" s="7" t="s">
        <v>302</v>
      </c>
      <c r="D49" s="7" t="s">
        <v>303</v>
      </c>
      <c r="E49" s="7" t="s">
        <v>226</v>
      </c>
      <c r="F49" s="20"/>
      <c r="G49" s="20"/>
      <c r="H49" s="7" t="str">
        <f t="shared" si="0"/>
        <v/>
      </c>
    </row>
    <row r="50" spans="1:8" x14ac:dyDescent="0.2">
      <c r="A50" s="7">
        <v>46</v>
      </c>
      <c r="B50" s="7" t="s">
        <v>92</v>
      </c>
      <c r="C50" s="7" t="s">
        <v>304</v>
      </c>
      <c r="D50" s="7" t="s">
        <v>305</v>
      </c>
      <c r="E50" s="7" t="s">
        <v>226</v>
      </c>
      <c r="F50" s="20"/>
      <c r="G50" s="20"/>
      <c r="H50" s="7" t="str">
        <f t="shared" si="0"/>
        <v/>
      </c>
    </row>
    <row r="51" spans="1:8" x14ac:dyDescent="0.2">
      <c r="A51" s="7">
        <v>47</v>
      </c>
      <c r="B51" s="7" t="s">
        <v>92</v>
      </c>
      <c r="C51" s="7" t="s">
        <v>306</v>
      </c>
      <c r="D51" s="7" t="s">
        <v>307</v>
      </c>
      <c r="E51" s="7" t="s">
        <v>213</v>
      </c>
      <c r="F51" s="20"/>
      <c r="G51" s="20"/>
      <c r="H51" s="7" t="str">
        <f t="shared" si="0"/>
        <v/>
      </c>
    </row>
    <row r="52" spans="1:8" x14ac:dyDescent="0.2">
      <c r="A52" s="7">
        <v>48</v>
      </c>
      <c r="B52" s="7" t="s">
        <v>92</v>
      </c>
      <c r="C52" s="7" t="s">
        <v>308</v>
      </c>
      <c r="D52" s="7" t="s">
        <v>309</v>
      </c>
      <c r="E52" s="7" t="s">
        <v>226</v>
      </c>
      <c r="F52" s="20"/>
      <c r="G52" s="20"/>
      <c r="H52" s="7" t="str">
        <f t="shared" si="0"/>
        <v/>
      </c>
    </row>
    <row r="53" spans="1:8" x14ac:dyDescent="0.2">
      <c r="A53" s="7">
        <v>49</v>
      </c>
      <c r="B53" s="7" t="s">
        <v>92</v>
      </c>
      <c r="C53" s="7" t="s">
        <v>310</v>
      </c>
      <c r="D53" s="7" t="s">
        <v>311</v>
      </c>
      <c r="E53" s="7" t="s">
        <v>253</v>
      </c>
      <c r="F53" s="20"/>
      <c r="G53" s="20"/>
      <c r="H53" s="7" t="str">
        <f t="shared" si="0"/>
        <v/>
      </c>
    </row>
    <row r="54" spans="1:8" x14ac:dyDescent="0.2">
      <c r="A54" s="7">
        <v>50</v>
      </c>
      <c r="B54" s="7" t="s">
        <v>92</v>
      </c>
      <c r="C54" s="7" t="s">
        <v>312</v>
      </c>
      <c r="D54" s="7" t="s">
        <v>313</v>
      </c>
      <c r="E54" s="7" t="s">
        <v>226</v>
      </c>
      <c r="F54" s="20"/>
      <c r="G54" s="20"/>
      <c r="H54" s="7" t="str">
        <f t="shared" si="0"/>
        <v/>
      </c>
    </row>
    <row r="55" spans="1:8" x14ac:dyDescent="0.2">
      <c r="A55" s="7">
        <v>51</v>
      </c>
      <c r="B55" s="7" t="s">
        <v>92</v>
      </c>
      <c r="C55" s="7" t="s">
        <v>314</v>
      </c>
      <c r="D55" s="7" t="s">
        <v>315</v>
      </c>
      <c r="E55" s="7" t="s">
        <v>226</v>
      </c>
      <c r="F55" s="20"/>
      <c r="G55" s="20"/>
      <c r="H55" s="7" t="str">
        <f t="shared" si="0"/>
        <v/>
      </c>
    </row>
    <row r="56" spans="1:8" x14ac:dyDescent="0.2">
      <c r="A56" s="7">
        <v>52</v>
      </c>
      <c r="B56" s="7" t="s">
        <v>92</v>
      </c>
      <c r="C56" s="7" t="s">
        <v>316</v>
      </c>
      <c r="D56" s="7" t="s">
        <v>317</v>
      </c>
      <c r="E56" s="7" t="s">
        <v>226</v>
      </c>
      <c r="F56" s="20"/>
      <c r="G56" s="20"/>
      <c r="H56" s="7" t="str">
        <f t="shared" si="0"/>
        <v/>
      </c>
    </row>
    <row r="57" spans="1:8" x14ac:dyDescent="0.2">
      <c r="A57" s="7">
        <v>53</v>
      </c>
      <c r="B57" s="7" t="s">
        <v>92</v>
      </c>
      <c r="C57" s="7" t="s">
        <v>318</v>
      </c>
      <c r="D57" s="7" t="s">
        <v>319</v>
      </c>
      <c r="E57" s="7" t="s">
        <v>226</v>
      </c>
      <c r="F57" s="20"/>
      <c r="G57" s="20"/>
      <c r="H57" s="7" t="str">
        <f t="shared" si="0"/>
        <v/>
      </c>
    </row>
    <row r="58" spans="1:8" x14ac:dyDescent="0.2">
      <c r="A58" s="7">
        <v>54</v>
      </c>
      <c r="B58" s="7" t="s">
        <v>92</v>
      </c>
      <c r="C58" s="7" t="s">
        <v>320</v>
      </c>
      <c r="D58" s="7" t="s">
        <v>321</v>
      </c>
      <c r="E58" s="7" t="s">
        <v>213</v>
      </c>
      <c r="F58" s="20"/>
      <c r="G58" s="20"/>
      <c r="H58" s="7" t="str">
        <f t="shared" si="0"/>
        <v/>
      </c>
    </row>
    <row r="59" spans="1:8" x14ac:dyDescent="0.2">
      <c r="A59" s="7">
        <v>55</v>
      </c>
      <c r="B59" s="7" t="s">
        <v>92</v>
      </c>
      <c r="C59" s="7" t="s">
        <v>322</v>
      </c>
      <c r="D59" s="7" t="s">
        <v>323</v>
      </c>
      <c r="E59" s="7" t="s">
        <v>226</v>
      </c>
      <c r="F59" s="20"/>
      <c r="G59" s="20"/>
      <c r="H59" s="7" t="str">
        <f t="shared" si="0"/>
        <v/>
      </c>
    </row>
    <row r="60" spans="1:8" x14ac:dyDescent="0.2">
      <c r="A60" s="7">
        <v>56</v>
      </c>
      <c r="B60" s="7" t="s">
        <v>92</v>
      </c>
      <c r="C60" s="7" t="s">
        <v>324</v>
      </c>
      <c r="D60" s="7" t="s">
        <v>325</v>
      </c>
      <c r="E60" s="7" t="s">
        <v>253</v>
      </c>
      <c r="F60" s="20"/>
      <c r="G60" s="20"/>
      <c r="H60" s="7" t="str">
        <f t="shared" si="0"/>
        <v/>
      </c>
    </row>
    <row r="61" spans="1:8" x14ac:dyDescent="0.2">
      <c r="A61" s="7">
        <v>57</v>
      </c>
      <c r="B61" s="7" t="s">
        <v>92</v>
      </c>
      <c r="C61" s="7" t="s">
        <v>326</v>
      </c>
      <c r="D61" s="7" t="s">
        <v>327</v>
      </c>
      <c r="E61" s="7" t="s">
        <v>226</v>
      </c>
      <c r="F61" s="20"/>
      <c r="G61" s="20"/>
      <c r="H61" s="7" t="str">
        <f t="shared" si="0"/>
        <v/>
      </c>
    </row>
    <row r="62" spans="1:8" x14ac:dyDescent="0.2">
      <c r="A62" s="7">
        <v>58</v>
      </c>
      <c r="B62" s="7" t="s">
        <v>92</v>
      </c>
      <c r="C62" s="7" t="s">
        <v>328</v>
      </c>
      <c r="D62" s="7" t="s">
        <v>329</v>
      </c>
      <c r="E62" s="7" t="s">
        <v>226</v>
      </c>
      <c r="F62" s="20"/>
      <c r="G62" s="20"/>
      <c r="H62" s="7" t="str">
        <f t="shared" si="0"/>
        <v/>
      </c>
    </row>
    <row r="63" spans="1:8" x14ac:dyDescent="0.2">
      <c r="A63" s="7">
        <v>59</v>
      </c>
      <c r="B63" s="7" t="s">
        <v>97</v>
      </c>
      <c r="C63" s="7" t="s">
        <v>330</v>
      </c>
      <c r="D63" s="7" t="s">
        <v>331</v>
      </c>
      <c r="E63" s="7" t="s">
        <v>226</v>
      </c>
      <c r="F63" s="20"/>
      <c r="G63" s="20"/>
      <c r="H63" s="7" t="str">
        <f t="shared" si="0"/>
        <v/>
      </c>
    </row>
    <row r="64" spans="1:8" x14ac:dyDescent="0.2">
      <c r="A64" s="7">
        <v>60</v>
      </c>
      <c r="B64" s="7" t="s">
        <v>97</v>
      </c>
      <c r="C64" s="7" t="s">
        <v>332</v>
      </c>
      <c r="D64" s="7" t="s">
        <v>333</v>
      </c>
      <c r="E64" s="7" t="s">
        <v>213</v>
      </c>
      <c r="F64" s="20"/>
      <c r="G64" s="20"/>
      <c r="H64" s="7" t="str">
        <f t="shared" si="0"/>
        <v/>
      </c>
    </row>
    <row r="65" spans="1:8" x14ac:dyDescent="0.2">
      <c r="A65" s="7">
        <v>61</v>
      </c>
      <c r="B65" s="7" t="s">
        <v>97</v>
      </c>
      <c r="C65" s="7" t="s">
        <v>334</v>
      </c>
      <c r="D65" s="7" t="s">
        <v>335</v>
      </c>
      <c r="E65" s="7" t="s">
        <v>226</v>
      </c>
      <c r="F65" s="20"/>
      <c r="G65" s="20"/>
      <c r="H65" s="7" t="str">
        <f t="shared" si="0"/>
        <v/>
      </c>
    </row>
    <row r="66" spans="1:8" x14ac:dyDescent="0.2">
      <c r="A66" s="7">
        <v>62</v>
      </c>
      <c r="B66" s="7" t="s">
        <v>97</v>
      </c>
      <c r="C66" s="7" t="s">
        <v>336</v>
      </c>
      <c r="D66" s="7" t="s">
        <v>337</v>
      </c>
      <c r="E66" s="7" t="s">
        <v>226</v>
      </c>
      <c r="F66" s="20"/>
      <c r="G66" s="20"/>
      <c r="H66" s="7" t="str">
        <f t="shared" si="0"/>
        <v/>
      </c>
    </row>
    <row r="67" spans="1:8" x14ac:dyDescent="0.2">
      <c r="A67" s="7">
        <v>63</v>
      </c>
      <c r="B67" s="7" t="s">
        <v>97</v>
      </c>
      <c r="C67" s="7" t="s">
        <v>338</v>
      </c>
      <c r="D67" s="7" t="s">
        <v>339</v>
      </c>
      <c r="E67" s="7" t="s">
        <v>226</v>
      </c>
      <c r="F67" s="20"/>
      <c r="G67" s="20"/>
      <c r="H67" s="7" t="str">
        <f t="shared" si="0"/>
        <v/>
      </c>
    </row>
    <row r="68" spans="1:8" x14ac:dyDescent="0.2">
      <c r="A68" s="7">
        <v>64</v>
      </c>
      <c r="B68" s="7" t="s">
        <v>97</v>
      </c>
      <c r="C68" s="7" t="s">
        <v>340</v>
      </c>
      <c r="D68" s="7" t="s">
        <v>341</v>
      </c>
      <c r="E68" s="7" t="s">
        <v>253</v>
      </c>
      <c r="F68" s="20"/>
      <c r="G68" s="20"/>
      <c r="H68" s="7" t="str">
        <f t="shared" si="0"/>
        <v/>
      </c>
    </row>
    <row r="69" spans="1:8" x14ac:dyDescent="0.2">
      <c r="A69" s="7">
        <v>65</v>
      </c>
      <c r="B69" s="7" t="s">
        <v>97</v>
      </c>
      <c r="C69" s="7" t="s">
        <v>342</v>
      </c>
      <c r="D69" s="7" t="s">
        <v>343</v>
      </c>
      <c r="E69" s="7" t="s">
        <v>213</v>
      </c>
      <c r="F69" s="20"/>
      <c r="G69" s="20"/>
      <c r="H69" s="7" t="str">
        <f t="shared" ref="H69:H132" si="1">IF(OR(F69="",G69=""),"",F69*G69)</f>
        <v/>
      </c>
    </row>
    <row r="70" spans="1:8" x14ac:dyDescent="0.2">
      <c r="A70" s="7">
        <v>66</v>
      </c>
      <c r="B70" s="7" t="s">
        <v>97</v>
      </c>
      <c r="C70" s="7" t="s">
        <v>344</v>
      </c>
      <c r="D70" s="7" t="s">
        <v>345</v>
      </c>
      <c r="E70" s="7" t="s">
        <v>226</v>
      </c>
      <c r="F70" s="20"/>
      <c r="G70" s="20"/>
      <c r="H70" s="7" t="str">
        <f t="shared" si="1"/>
        <v/>
      </c>
    </row>
    <row r="71" spans="1:8" x14ac:dyDescent="0.2">
      <c r="A71" s="7">
        <v>67</v>
      </c>
      <c r="B71" s="7" t="s">
        <v>97</v>
      </c>
      <c r="C71" s="7" t="s">
        <v>346</v>
      </c>
      <c r="D71" s="7" t="s">
        <v>347</v>
      </c>
      <c r="E71" s="7" t="s">
        <v>213</v>
      </c>
      <c r="F71" s="20"/>
      <c r="G71" s="20"/>
      <c r="H71" s="7" t="str">
        <f t="shared" si="1"/>
        <v/>
      </c>
    </row>
    <row r="72" spans="1:8" x14ac:dyDescent="0.2">
      <c r="A72" s="7">
        <v>68</v>
      </c>
      <c r="B72" s="7" t="s">
        <v>97</v>
      </c>
      <c r="C72" s="7" t="s">
        <v>348</v>
      </c>
      <c r="D72" s="7" t="s">
        <v>349</v>
      </c>
      <c r="E72" s="7" t="s">
        <v>226</v>
      </c>
      <c r="F72" s="20"/>
      <c r="G72" s="20"/>
      <c r="H72" s="7" t="str">
        <f t="shared" si="1"/>
        <v/>
      </c>
    </row>
    <row r="73" spans="1:8" x14ac:dyDescent="0.2">
      <c r="A73" s="7">
        <v>69</v>
      </c>
      <c r="B73" s="7" t="s">
        <v>97</v>
      </c>
      <c r="C73" s="7" t="s">
        <v>350</v>
      </c>
      <c r="D73" s="7" t="s">
        <v>351</v>
      </c>
      <c r="E73" s="7" t="s">
        <v>226</v>
      </c>
      <c r="F73" s="20"/>
      <c r="G73" s="20"/>
      <c r="H73" s="7" t="str">
        <f t="shared" si="1"/>
        <v/>
      </c>
    </row>
    <row r="74" spans="1:8" x14ac:dyDescent="0.2">
      <c r="A74" s="7">
        <v>70</v>
      </c>
      <c r="B74" s="7" t="s">
        <v>97</v>
      </c>
      <c r="C74" s="7" t="s">
        <v>352</v>
      </c>
      <c r="D74" s="7" t="s">
        <v>353</v>
      </c>
      <c r="E74" s="7" t="s">
        <v>226</v>
      </c>
      <c r="F74" s="20"/>
      <c r="G74" s="20"/>
      <c r="H74" s="7" t="str">
        <f t="shared" si="1"/>
        <v/>
      </c>
    </row>
    <row r="75" spans="1:8" x14ac:dyDescent="0.2">
      <c r="A75" s="7">
        <v>71</v>
      </c>
      <c r="B75" s="7" t="s">
        <v>97</v>
      </c>
      <c r="C75" s="7" t="s">
        <v>354</v>
      </c>
      <c r="D75" s="7" t="s">
        <v>355</v>
      </c>
      <c r="E75" s="7" t="s">
        <v>213</v>
      </c>
      <c r="F75" s="20"/>
      <c r="G75" s="20"/>
      <c r="H75" s="7" t="str">
        <f t="shared" si="1"/>
        <v/>
      </c>
    </row>
    <row r="76" spans="1:8" x14ac:dyDescent="0.2">
      <c r="A76" s="7">
        <v>72</v>
      </c>
      <c r="B76" s="7" t="s">
        <v>97</v>
      </c>
      <c r="C76" s="7" t="s">
        <v>356</v>
      </c>
      <c r="D76" s="7" t="s">
        <v>357</v>
      </c>
      <c r="E76" s="7" t="s">
        <v>226</v>
      </c>
      <c r="F76" s="20"/>
      <c r="G76" s="20"/>
      <c r="H76" s="7" t="str">
        <f t="shared" si="1"/>
        <v/>
      </c>
    </row>
    <row r="77" spans="1:8" x14ac:dyDescent="0.2">
      <c r="A77" s="7">
        <v>73</v>
      </c>
      <c r="B77" s="7" t="s">
        <v>108</v>
      </c>
      <c r="C77" s="7" t="s">
        <v>358</v>
      </c>
      <c r="D77" s="7" t="s">
        <v>359</v>
      </c>
      <c r="E77" s="7" t="s">
        <v>226</v>
      </c>
      <c r="F77" s="20"/>
      <c r="G77" s="20"/>
      <c r="H77" s="7" t="str">
        <f t="shared" si="1"/>
        <v/>
      </c>
    </row>
    <row r="78" spans="1:8" x14ac:dyDescent="0.2">
      <c r="A78" s="7">
        <v>74</v>
      </c>
      <c r="B78" s="7" t="s">
        <v>108</v>
      </c>
      <c r="C78" s="7" t="s">
        <v>360</v>
      </c>
      <c r="D78" s="7" t="s">
        <v>361</v>
      </c>
      <c r="E78" s="7" t="s">
        <v>226</v>
      </c>
      <c r="F78" s="20"/>
      <c r="G78" s="20"/>
      <c r="H78" s="7" t="str">
        <f t="shared" si="1"/>
        <v/>
      </c>
    </row>
    <row r="79" spans="1:8" x14ac:dyDescent="0.2">
      <c r="A79" s="7">
        <v>75</v>
      </c>
      <c r="B79" s="7" t="s">
        <v>108</v>
      </c>
      <c r="C79" s="7" t="s">
        <v>362</v>
      </c>
      <c r="D79" s="7" t="s">
        <v>363</v>
      </c>
      <c r="E79" s="7" t="s">
        <v>226</v>
      </c>
      <c r="F79" s="20"/>
      <c r="G79" s="20"/>
      <c r="H79" s="7" t="str">
        <f t="shared" si="1"/>
        <v/>
      </c>
    </row>
    <row r="80" spans="1:8" x14ac:dyDescent="0.2">
      <c r="A80" s="7">
        <v>76</v>
      </c>
      <c r="B80" s="7" t="s">
        <v>108</v>
      </c>
      <c r="C80" s="7" t="s">
        <v>364</v>
      </c>
      <c r="D80" s="7" t="s">
        <v>365</v>
      </c>
      <c r="E80" s="7" t="s">
        <v>226</v>
      </c>
      <c r="F80" s="20"/>
      <c r="G80" s="20"/>
      <c r="H80" s="7" t="str">
        <f t="shared" si="1"/>
        <v/>
      </c>
    </row>
    <row r="81" spans="1:8" x14ac:dyDescent="0.2">
      <c r="A81" s="7">
        <v>77</v>
      </c>
      <c r="B81" s="7" t="s">
        <v>108</v>
      </c>
      <c r="C81" s="7" t="s">
        <v>366</v>
      </c>
      <c r="D81" s="7" t="s">
        <v>367</v>
      </c>
      <c r="E81" s="7" t="s">
        <v>226</v>
      </c>
      <c r="F81" s="20"/>
      <c r="G81" s="20"/>
      <c r="H81" s="7" t="str">
        <f t="shared" si="1"/>
        <v/>
      </c>
    </row>
    <row r="82" spans="1:8" x14ac:dyDescent="0.2">
      <c r="A82" s="7">
        <v>78</v>
      </c>
      <c r="B82" s="7" t="s">
        <v>108</v>
      </c>
      <c r="C82" s="7" t="s">
        <v>368</v>
      </c>
      <c r="D82" s="7" t="s">
        <v>369</v>
      </c>
      <c r="E82" s="7" t="s">
        <v>226</v>
      </c>
      <c r="F82" s="20"/>
      <c r="G82" s="20"/>
      <c r="H82" s="7" t="str">
        <f t="shared" si="1"/>
        <v/>
      </c>
    </row>
    <row r="83" spans="1:8" x14ac:dyDescent="0.2">
      <c r="A83" s="7">
        <v>79</v>
      </c>
      <c r="B83" s="7" t="s">
        <v>108</v>
      </c>
      <c r="C83" s="7" t="s">
        <v>370</v>
      </c>
      <c r="D83" s="7" t="s">
        <v>371</v>
      </c>
      <c r="E83" s="7" t="s">
        <v>253</v>
      </c>
      <c r="F83" s="20"/>
      <c r="G83" s="20"/>
      <c r="H83" s="7" t="str">
        <f t="shared" si="1"/>
        <v/>
      </c>
    </row>
    <row r="84" spans="1:8" x14ac:dyDescent="0.2">
      <c r="A84" s="7">
        <v>80</v>
      </c>
      <c r="B84" s="7" t="s">
        <v>108</v>
      </c>
      <c r="C84" s="7" t="s">
        <v>372</v>
      </c>
      <c r="D84" s="7" t="s">
        <v>373</v>
      </c>
      <c r="E84" s="7" t="s">
        <v>253</v>
      </c>
      <c r="F84" s="20"/>
      <c r="G84" s="20"/>
      <c r="H84" s="7" t="str">
        <f t="shared" si="1"/>
        <v/>
      </c>
    </row>
    <row r="85" spans="1:8" x14ac:dyDescent="0.2">
      <c r="A85" s="7">
        <v>81</v>
      </c>
      <c r="B85" s="7" t="s">
        <v>108</v>
      </c>
      <c r="C85" s="7" t="s">
        <v>374</v>
      </c>
      <c r="D85" s="7" t="s">
        <v>375</v>
      </c>
      <c r="E85" s="7" t="s">
        <v>213</v>
      </c>
      <c r="F85" s="20"/>
      <c r="G85" s="20"/>
      <c r="H85" s="7" t="str">
        <f t="shared" si="1"/>
        <v/>
      </c>
    </row>
    <row r="86" spans="1:8" x14ac:dyDescent="0.2">
      <c r="A86" s="7">
        <v>82</v>
      </c>
      <c r="B86" s="7" t="s">
        <v>108</v>
      </c>
      <c r="C86" s="7" t="s">
        <v>376</v>
      </c>
      <c r="D86" s="7" t="s">
        <v>377</v>
      </c>
      <c r="E86" s="7" t="s">
        <v>226</v>
      </c>
      <c r="F86" s="20"/>
      <c r="G86" s="20"/>
      <c r="H86" s="7" t="str">
        <f t="shared" si="1"/>
        <v/>
      </c>
    </row>
    <row r="87" spans="1:8" x14ac:dyDescent="0.2">
      <c r="A87" s="7">
        <v>83</v>
      </c>
      <c r="B87" s="7" t="s">
        <v>108</v>
      </c>
      <c r="C87" s="7" t="s">
        <v>378</v>
      </c>
      <c r="D87" s="7" t="s">
        <v>379</v>
      </c>
      <c r="E87" s="7" t="s">
        <v>213</v>
      </c>
      <c r="F87" s="20"/>
      <c r="G87" s="20"/>
      <c r="H87" s="7" t="str">
        <f t="shared" si="1"/>
        <v/>
      </c>
    </row>
    <row r="88" spans="1:8" x14ac:dyDescent="0.2">
      <c r="A88" s="7">
        <v>84</v>
      </c>
      <c r="B88" s="7" t="s">
        <v>108</v>
      </c>
      <c r="C88" s="7" t="s">
        <v>380</v>
      </c>
      <c r="D88" s="7" t="s">
        <v>381</v>
      </c>
      <c r="E88" s="7" t="s">
        <v>226</v>
      </c>
      <c r="F88" s="20"/>
      <c r="G88" s="20"/>
      <c r="H88" s="7" t="str">
        <f t="shared" si="1"/>
        <v/>
      </c>
    </row>
    <row r="89" spans="1:8" x14ac:dyDescent="0.2">
      <c r="A89" s="7">
        <v>85</v>
      </c>
      <c r="B89" s="7" t="s">
        <v>108</v>
      </c>
      <c r="C89" s="7" t="s">
        <v>382</v>
      </c>
      <c r="D89" s="7" t="s">
        <v>383</v>
      </c>
      <c r="E89" s="7" t="s">
        <v>226</v>
      </c>
      <c r="F89" s="20"/>
      <c r="G89" s="20"/>
      <c r="H89" s="7" t="str">
        <f t="shared" si="1"/>
        <v/>
      </c>
    </row>
    <row r="90" spans="1:8" x14ac:dyDescent="0.2">
      <c r="A90" s="7">
        <v>86</v>
      </c>
      <c r="B90" s="7" t="s">
        <v>108</v>
      </c>
      <c r="C90" s="7" t="s">
        <v>384</v>
      </c>
      <c r="D90" s="7" t="s">
        <v>385</v>
      </c>
      <c r="E90" s="7" t="s">
        <v>213</v>
      </c>
      <c r="F90" s="20"/>
      <c r="G90" s="20"/>
      <c r="H90" s="7" t="str">
        <f t="shared" si="1"/>
        <v/>
      </c>
    </row>
    <row r="91" spans="1:8" x14ac:dyDescent="0.2">
      <c r="A91" s="7">
        <v>87</v>
      </c>
      <c r="B91" s="7" t="s">
        <v>108</v>
      </c>
      <c r="C91" s="7" t="s">
        <v>386</v>
      </c>
      <c r="D91" s="7" t="s">
        <v>387</v>
      </c>
      <c r="E91" s="7" t="s">
        <v>226</v>
      </c>
      <c r="F91" s="20"/>
      <c r="G91" s="20"/>
      <c r="H91" s="7" t="str">
        <f t="shared" si="1"/>
        <v/>
      </c>
    </row>
    <row r="92" spans="1:8" x14ac:dyDescent="0.2">
      <c r="A92" s="7">
        <v>88</v>
      </c>
      <c r="B92" s="7" t="s">
        <v>108</v>
      </c>
      <c r="C92" s="7" t="s">
        <v>388</v>
      </c>
      <c r="D92" s="7" t="s">
        <v>389</v>
      </c>
      <c r="E92" s="7" t="s">
        <v>226</v>
      </c>
      <c r="F92" s="20"/>
      <c r="G92" s="20"/>
      <c r="H92" s="7" t="str">
        <f t="shared" si="1"/>
        <v/>
      </c>
    </row>
    <row r="93" spans="1:8" x14ac:dyDescent="0.2">
      <c r="A93" s="7">
        <v>89</v>
      </c>
      <c r="B93" s="7" t="s">
        <v>102</v>
      </c>
      <c r="C93" s="7" t="s">
        <v>390</v>
      </c>
      <c r="D93" s="7" t="s">
        <v>391</v>
      </c>
      <c r="E93" s="7" t="s">
        <v>213</v>
      </c>
      <c r="F93" s="20"/>
      <c r="G93" s="20"/>
      <c r="H93" s="7" t="str">
        <f t="shared" si="1"/>
        <v/>
      </c>
    </row>
    <row r="94" spans="1:8" x14ac:dyDescent="0.2">
      <c r="A94" s="7">
        <v>90</v>
      </c>
      <c r="B94" s="7" t="s">
        <v>102</v>
      </c>
      <c r="C94" s="7" t="s">
        <v>392</v>
      </c>
      <c r="D94" s="7" t="s">
        <v>393</v>
      </c>
      <c r="E94" s="7" t="s">
        <v>213</v>
      </c>
      <c r="F94" s="20"/>
      <c r="G94" s="20"/>
      <c r="H94" s="7" t="str">
        <f t="shared" si="1"/>
        <v/>
      </c>
    </row>
    <row r="95" spans="1:8" x14ac:dyDescent="0.2">
      <c r="A95" s="7">
        <v>91</v>
      </c>
      <c r="B95" s="7" t="s">
        <v>102</v>
      </c>
      <c r="C95" s="7" t="s">
        <v>394</v>
      </c>
      <c r="D95" s="7" t="s">
        <v>395</v>
      </c>
      <c r="E95" s="7" t="s">
        <v>226</v>
      </c>
      <c r="F95" s="20"/>
      <c r="G95" s="20"/>
      <c r="H95" s="7" t="str">
        <f t="shared" si="1"/>
        <v/>
      </c>
    </row>
    <row r="96" spans="1:8" x14ac:dyDescent="0.2">
      <c r="A96" s="7">
        <v>92</v>
      </c>
      <c r="B96" s="7" t="s">
        <v>102</v>
      </c>
      <c r="C96" s="7" t="s">
        <v>396</v>
      </c>
      <c r="D96" s="7" t="s">
        <v>397</v>
      </c>
      <c r="E96" s="7" t="s">
        <v>226</v>
      </c>
      <c r="F96" s="20"/>
      <c r="G96" s="20"/>
      <c r="H96" s="7" t="str">
        <f t="shared" si="1"/>
        <v/>
      </c>
    </row>
    <row r="97" spans="1:8" x14ac:dyDescent="0.2">
      <c r="A97" s="7">
        <v>93</v>
      </c>
      <c r="B97" s="7" t="s">
        <v>102</v>
      </c>
      <c r="C97" s="7" t="s">
        <v>398</v>
      </c>
      <c r="D97" s="7" t="s">
        <v>399</v>
      </c>
      <c r="E97" s="7" t="s">
        <v>226</v>
      </c>
      <c r="F97" s="20"/>
      <c r="G97" s="20"/>
      <c r="H97" s="7" t="str">
        <f t="shared" si="1"/>
        <v/>
      </c>
    </row>
    <row r="98" spans="1:8" x14ac:dyDescent="0.2">
      <c r="A98" s="7">
        <v>94</v>
      </c>
      <c r="B98" s="7" t="s">
        <v>102</v>
      </c>
      <c r="C98" s="7" t="s">
        <v>400</v>
      </c>
      <c r="D98" s="7" t="s">
        <v>401</v>
      </c>
      <c r="E98" s="7" t="s">
        <v>253</v>
      </c>
      <c r="F98" s="20"/>
      <c r="G98" s="20"/>
      <c r="H98" s="7" t="str">
        <f t="shared" si="1"/>
        <v/>
      </c>
    </row>
    <row r="99" spans="1:8" x14ac:dyDescent="0.2">
      <c r="A99" s="7">
        <v>95</v>
      </c>
      <c r="B99" s="7" t="s">
        <v>102</v>
      </c>
      <c r="C99" s="7" t="s">
        <v>402</v>
      </c>
      <c r="D99" s="7" t="s">
        <v>403</v>
      </c>
      <c r="E99" s="7" t="s">
        <v>226</v>
      </c>
      <c r="F99" s="20"/>
      <c r="G99" s="20"/>
      <c r="H99" s="7" t="str">
        <f t="shared" si="1"/>
        <v/>
      </c>
    </row>
    <row r="100" spans="1:8" x14ac:dyDescent="0.2">
      <c r="A100" s="7">
        <v>96</v>
      </c>
      <c r="B100" s="7" t="s">
        <v>102</v>
      </c>
      <c r="C100" s="7" t="s">
        <v>404</v>
      </c>
      <c r="D100" s="7" t="s">
        <v>405</v>
      </c>
      <c r="E100" s="7" t="s">
        <v>226</v>
      </c>
      <c r="F100" s="20"/>
      <c r="G100" s="20"/>
      <c r="H100" s="7" t="str">
        <f t="shared" si="1"/>
        <v/>
      </c>
    </row>
    <row r="101" spans="1:8" x14ac:dyDescent="0.2">
      <c r="A101" s="7">
        <v>97</v>
      </c>
      <c r="B101" s="7" t="s">
        <v>102</v>
      </c>
      <c r="C101" s="7" t="s">
        <v>406</v>
      </c>
      <c r="D101" s="7" t="s">
        <v>407</v>
      </c>
      <c r="E101" s="7" t="s">
        <v>226</v>
      </c>
      <c r="F101" s="20"/>
      <c r="G101" s="20"/>
      <c r="H101" s="7" t="str">
        <f t="shared" si="1"/>
        <v/>
      </c>
    </row>
    <row r="102" spans="1:8" x14ac:dyDescent="0.2">
      <c r="A102" s="7">
        <v>98</v>
      </c>
      <c r="B102" s="7" t="s">
        <v>102</v>
      </c>
      <c r="C102" s="7" t="s">
        <v>408</v>
      </c>
      <c r="D102" s="7" t="s">
        <v>409</v>
      </c>
      <c r="E102" s="7" t="s">
        <v>226</v>
      </c>
      <c r="F102" s="20"/>
      <c r="G102" s="20"/>
      <c r="H102" s="7" t="str">
        <f t="shared" si="1"/>
        <v/>
      </c>
    </row>
    <row r="103" spans="1:8" x14ac:dyDescent="0.2">
      <c r="A103" s="7">
        <v>99</v>
      </c>
      <c r="B103" s="7" t="s">
        <v>102</v>
      </c>
      <c r="C103" s="7" t="s">
        <v>410</v>
      </c>
      <c r="D103" s="7" t="s">
        <v>411</v>
      </c>
      <c r="E103" s="7" t="s">
        <v>213</v>
      </c>
      <c r="F103" s="20"/>
      <c r="G103" s="20"/>
      <c r="H103" s="7" t="str">
        <f t="shared" si="1"/>
        <v/>
      </c>
    </row>
    <row r="104" spans="1:8" x14ac:dyDescent="0.2">
      <c r="A104" s="7">
        <v>100</v>
      </c>
      <c r="B104" s="7" t="s">
        <v>102</v>
      </c>
      <c r="C104" s="7" t="s">
        <v>412</v>
      </c>
      <c r="D104" s="7" t="s">
        <v>413</v>
      </c>
      <c r="E104" s="7" t="s">
        <v>226</v>
      </c>
      <c r="F104" s="20"/>
      <c r="G104" s="20"/>
      <c r="H104" s="7" t="str">
        <f t="shared" si="1"/>
        <v/>
      </c>
    </row>
    <row r="105" spans="1:8" x14ac:dyDescent="0.2">
      <c r="A105" s="7">
        <v>101</v>
      </c>
      <c r="B105" s="7" t="s">
        <v>102</v>
      </c>
      <c r="C105" s="7" t="s">
        <v>414</v>
      </c>
      <c r="D105" s="7" t="s">
        <v>415</v>
      </c>
      <c r="E105" s="7" t="s">
        <v>213</v>
      </c>
      <c r="F105" s="20"/>
      <c r="G105" s="20"/>
      <c r="H105" s="7" t="str">
        <f t="shared" si="1"/>
        <v/>
      </c>
    </row>
    <row r="106" spans="1:8" x14ac:dyDescent="0.2">
      <c r="A106" s="7">
        <v>102</v>
      </c>
      <c r="B106" s="7" t="s">
        <v>102</v>
      </c>
      <c r="C106" s="7" t="s">
        <v>416</v>
      </c>
      <c r="D106" s="7" t="s">
        <v>417</v>
      </c>
      <c r="E106" s="7" t="s">
        <v>213</v>
      </c>
      <c r="F106" s="20"/>
      <c r="G106" s="20"/>
      <c r="H106" s="7" t="str">
        <f t="shared" si="1"/>
        <v/>
      </c>
    </row>
    <row r="107" spans="1:8" x14ac:dyDescent="0.2">
      <c r="A107" s="7">
        <v>103</v>
      </c>
      <c r="B107" s="7" t="s">
        <v>102</v>
      </c>
      <c r="C107" s="7" t="s">
        <v>418</v>
      </c>
      <c r="D107" s="7" t="s">
        <v>419</v>
      </c>
      <c r="E107" s="7" t="s">
        <v>213</v>
      </c>
      <c r="F107" s="20"/>
      <c r="G107" s="20"/>
      <c r="H107" s="7" t="str">
        <f t="shared" si="1"/>
        <v/>
      </c>
    </row>
    <row r="108" spans="1:8" x14ac:dyDescent="0.2">
      <c r="A108" s="7">
        <v>104</v>
      </c>
      <c r="B108" s="7" t="s">
        <v>102</v>
      </c>
      <c r="C108" s="7" t="s">
        <v>420</v>
      </c>
      <c r="D108" s="7" t="s">
        <v>421</v>
      </c>
      <c r="E108" s="7" t="s">
        <v>226</v>
      </c>
      <c r="F108" s="20"/>
      <c r="G108" s="20"/>
      <c r="H108" s="7" t="str">
        <f t="shared" si="1"/>
        <v/>
      </c>
    </row>
    <row r="109" spans="1:8" x14ac:dyDescent="0.2">
      <c r="A109" s="7">
        <v>105</v>
      </c>
      <c r="B109" s="7" t="s">
        <v>102</v>
      </c>
      <c r="C109" s="7" t="s">
        <v>422</v>
      </c>
      <c r="D109" s="7" t="s">
        <v>423</v>
      </c>
      <c r="E109" s="7" t="s">
        <v>213</v>
      </c>
      <c r="F109" s="20"/>
      <c r="G109" s="20"/>
      <c r="H109" s="7" t="str">
        <f t="shared" si="1"/>
        <v/>
      </c>
    </row>
    <row r="110" spans="1:8" x14ac:dyDescent="0.2">
      <c r="A110" s="7">
        <v>106</v>
      </c>
      <c r="B110" s="7" t="s">
        <v>102</v>
      </c>
      <c r="C110" s="7" t="s">
        <v>424</v>
      </c>
      <c r="D110" s="7" t="s">
        <v>425</v>
      </c>
      <c r="E110" s="7" t="s">
        <v>213</v>
      </c>
      <c r="F110" s="20"/>
      <c r="G110" s="20"/>
      <c r="H110" s="7" t="str">
        <f t="shared" si="1"/>
        <v/>
      </c>
    </row>
    <row r="111" spans="1:8" x14ac:dyDescent="0.2">
      <c r="A111" s="7">
        <v>107</v>
      </c>
      <c r="B111" s="7" t="s">
        <v>102</v>
      </c>
      <c r="C111" s="7" t="s">
        <v>426</v>
      </c>
      <c r="D111" s="7" t="s">
        <v>427</v>
      </c>
      <c r="E111" s="7" t="s">
        <v>213</v>
      </c>
      <c r="F111" s="20"/>
      <c r="G111" s="20"/>
      <c r="H111" s="7" t="str">
        <f t="shared" si="1"/>
        <v/>
      </c>
    </row>
    <row r="112" spans="1:8" x14ac:dyDescent="0.2">
      <c r="A112" s="7">
        <v>108</v>
      </c>
      <c r="B112" s="7" t="s">
        <v>102</v>
      </c>
      <c r="C112" s="7" t="s">
        <v>428</v>
      </c>
      <c r="D112" s="7" t="s">
        <v>429</v>
      </c>
      <c r="E112" s="7" t="s">
        <v>213</v>
      </c>
      <c r="F112" s="20"/>
      <c r="G112" s="20"/>
      <c r="H112" s="7" t="str">
        <f t="shared" si="1"/>
        <v/>
      </c>
    </row>
    <row r="113" spans="1:8" x14ac:dyDescent="0.2">
      <c r="A113" s="7">
        <v>109</v>
      </c>
      <c r="B113" s="7" t="s">
        <v>102</v>
      </c>
      <c r="C113" s="7" t="s">
        <v>430</v>
      </c>
      <c r="D113" s="7" t="s">
        <v>431</v>
      </c>
      <c r="E113" s="7" t="s">
        <v>226</v>
      </c>
      <c r="F113" s="20"/>
      <c r="G113" s="20"/>
      <c r="H113" s="7" t="str">
        <f t="shared" si="1"/>
        <v/>
      </c>
    </row>
    <row r="114" spans="1:8" x14ac:dyDescent="0.2">
      <c r="A114" s="7">
        <v>110</v>
      </c>
      <c r="B114" s="7" t="s">
        <v>102</v>
      </c>
      <c r="C114" s="7" t="s">
        <v>432</v>
      </c>
      <c r="D114" s="7" t="s">
        <v>433</v>
      </c>
      <c r="E114" s="7" t="s">
        <v>226</v>
      </c>
      <c r="F114" s="20"/>
      <c r="G114" s="20"/>
      <c r="H114" s="7" t="str">
        <f t="shared" si="1"/>
        <v/>
      </c>
    </row>
    <row r="115" spans="1:8" x14ac:dyDescent="0.2">
      <c r="A115" s="7">
        <v>111</v>
      </c>
      <c r="B115" s="7" t="s">
        <v>114</v>
      </c>
      <c r="C115" s="7" t="s">
        <v>434</v>
      </c>
      <c r="D115" s="7" t="s">
        <v>435</v>
      </c>
      <c r="E115" s="7" t="s">
        <v>213</v>
      </c>
      <c r="F115" s="20"/>
      <c r="G115" s="20"/>
      <c r="H115" s="7" t="str">
        <f t="shared" si="1"/>
        <v/>
      </c>
    </row>
    <row r="116" spans="1:8" x14ac:dyDescent="0.2">
      <c r="A116" s="7">
        <v>112</v>
      </c>
      <c r="B116" s="7" t="s">
        <v>114</v>
      </c>
      <c r="C116" s="7" t="s">
        <v>436</v>
      </c>
      <c r="D116" s="7" t="s">
        <v>437</v>
      </c>
      <c r="E116" s="7" t="s">
        <v>226</v>
      </c>
      <c r="F116" s="20"/>
      <c r="G116" s="20"/>
      <c r="H116" s="7" t="str">
        <f t="shared" si="1"/>
        <v/>
      </c>
    </row>
    <row r="117" spans="1:8" x14ac:dyDescent="0.2">
      <c r="A117" s="7">
        <v>113</v>
      </c>
      <c r="B117" s="7" t="s">
        <v>114</v>
      </c>
      <c r="C117" s="7" t="s">
        <v>438</v>
      </c>
      <c r="D117" s="7" t="s">
        <v>439</v>
      </c>
      <c r="E117" s="7" t="s">
        <v>253</v>
      </c>
      <c r="F117" s="20"/>
      <c r="G117" s="20"/>
      <c r="H117" s="7" t="str">
        <f t="shared" si="1"/>
        <v/>
      </c>
    </row>
    <row r="118" spans="1:8" x14ac:dyDescent="0.2">
      <c r="A118" s="7">
        <v>114</v>
      </c>
      <c r="B118" s="7" t="s">
        <v>114</v>
      </c>
      <c r="C118" s="7" t="s">
        <v>440</v>
      </c>
      <c r="D118" s="7" t="s">
        <v>441</v>
      </c>
      <c r="E118" s="7" t="s">
        <v>226</v>
      </c>
      <c r="F118" s="20"/>
      <c r="G118" s="20"/>
      <c r="H118" s="7" t="str">
        <f t="shared" si="1"/>
        <v/>
      </c>
    </row>
    <row r="119" spans="1:8" x14ac:dyDescent="0.2">
      <c r="A119" s="7">
        <v>115</v>
      </c>
      <c r="B119" s="7" t="s">
        <v>114</v>
      </c>
      <c r="C119" s="7" t="s">
        <v>442</v>
      </c>
      <c r="D119" s="7" t="s">
        <v>443</v>
      </c>
      <c r="E119" s="7" t="s">
        <v>226</v>
      </c>
      <c r="F119" s="20"/>
      <c r="G119" s="20"/>
      <c r="H119" s="7" t="str">
        <f t="shared" si="1"/>
        <v/>
      </c>
    </row>
    <row r="120" spans="1:8" x14ac:dyDescent="0.2">
      <c r="A120" s="7">
        <v>116</v>
      </c>
      <c r="B120" s="7" t="s">
        <v>114</v>
      </c>
      <c r="C120" s="7" t="s">
        <v>444</v>
      </c>
      <c r="D120" s="7" t="s">
        <v>445</v>
      </c>
      <c r="E120" s="7" t="s">
        <v>213</v>
      </c>
      <c r="F120" s="20"/>
      <c r="G120" s="20"/>
      <c r="H120" s="7" t="str">
        <f t="shared" si="1"/>
        <v/>
      </c>
    </row>
    <row r="121" spans="1:8" x14ac:dyDescent="0.2">
      <c r="A121" s="7">
        <v>117</v>
      </c>
      <c r="B121" s="7" t="s">
        <v>114</v>
      </c>
      <c r="C121" s="7" t="s">
        <v>446</v>
      </c>
      <c r="D121" s="7" t="s">
        <v>447</v>
      </c>
      <c r="E121" s="7" t="s">
        <v>226</v>
      </c>
      <c r="F121" s="20"/>
      <c r="G121" s="20"/>
      <c r="H121" s="7" t="str">
        <f t="shared" si="1"/>
        <v/>
      </c>
    </row>
    <row r="122" spans="1:8" x14ac:dyDescent="0.2">
      <c r="A122" s="7">
        <v>118</v>
      </c>
      <c r="B122" s="7" t="s">
        <v>114</v>
      </c>
      <c r="C122" s="7" t="s">
        <v>448</v>
      </c>
      <c r="D122" s="7" t="s">
        <v>449</v>
      </c>
      <c r="E122" s="7" t="s">
        <v>213</v>
      </c>
      <c r="F122" s="20"/>
      <c r="G122" s="20"/>
      <c r="H122" s="7" t="str">
        <f t="shared" si="1"/>
        <v/>
      </c>
    </row>
    <row r="123" spans="1:8" x14ac:dyDescent="0.2">
      <c r="A123" s="7">
        <v>119</v>
      </c>
      <c r="B123" s="7" t="s">
        <v>114</v>
      </c>
      <c r="C123" s="7" t="s">
        <v>450</v>
      </c>
      <c r="D123" s="7" t="s">
        <v>451</v>
      </c>
      <c r="E123" s="7" t="s">
        <v>213</v>
      </c>
      <c r="F123" s="20"/>
      <c r="G123" s="20"/>
      <c r="H123" s="7" t="str">
        <f t="shared" si="1"/>
        <v/>
      </c>
    </row>
    <row r="124" spans="1:8" x14ac:dyDescent="0.2">
      <c r="A124" s="7">
        <v>120</v>
      </c>
      <c r="B124" s="7" t="s">
        <v>114</v>
      </c>
      <c r="C124" s="7" t="s">
        <v>452</v>
      </c>
      <c r="D124" s="7" t="s">
        <v>453</v>
      </c>
      <c r="E124" s="7" t="s">
        <v>213</v>
      </c>
      <c r="F124" s="20"/>
      <c r="G124" s="20"/>
      <c r="H124" s="7" t="str">
        <f t="shared" si="1"/>
        <v/>
      </c>
    </row>
    <row r="125" spans="1:8" x14ac:dyDescent="0.2">
      <c r="A125" s="7">
        <v>121</v>
      </c>
      <c r="B125" s="7" t="s">
        <v>114</v>
      </c>
      <c r="C125" s="7" t="s">
        <v>454</v>
      </c>
      <c r="D125" s="7" t="s">
        <v>455</v>
      </c>
      <c r="E125" s="7" t="s">
        <v>213</v>
      </c>
      <c r="F125" s="20"/>
      <c r="G125" s="20"/>
      <c r="H125" s="7" t="str">
        <f t="shared" si="1"/>
        <v/>
      </c>
    </row>
    <row r="126" spans="1:8" x14ac:dyDescent="0.2">
      <c r="A126" s="7">
        <v>122</v>
      </c>
      <c r="B126" s="7" t="s">
        <v>114</v>
      </c>
      <c r="C126" s="7" t="s">
        <v>456</v>
      </c>
      <c r="D126" s="7" t="s">
        <v>457</v>
      </c>
      <c r="E126" s="7" t="s">
        <v>226</v>
      </c>
      <c r="F126" s="20"/>
      <c r="G126" s="20"/>
      <c r="H126" s="7" t="str">
        <f t="shared" si="1"/>
        <v/>
      </c>
    </row>
    <row r="127" spans="1:8" x14ac:dyDescent="0.2">
      <c r="A127" s="7">
        <v>123</v>
      </c>
      <c r="B127" s="7" t="s">
        <v>114</v>
      </c>
      <c r="C127" s="7" t="s">
        <v>458</v>
      </c>
      <c r="D127" s="7" t="s">
        <v>459</v>
      </c>
      <c r="E127" s="7" t="s">
        <v>213</v>
      </c>
      <c r="F127" s="20"/>
      <c r="G127" s="20"/>
      <c r="H127" s="7" t="str">
        <f t="shared" si="1"/>
        <v/>
      </c>
    </row>
    <row r="128" spans="1:8" x14ac:dyDescent="0.2">
      <c r="A128" s="7">
        <v>124</v>
      </c>
      <c r="B128" s="7" t="s">
        <v>114</v>
      </c>
      <c r="C128" s="7" t="s">
        <v>460</v>
      </c>
      <c r="D128" s="7" t="s">
        <v>461</v>
      </c>
      <c r="E128" s="7" t="s">
        <v>226</v>
      </c>
      <c r="F128" s="20"/>
      <c r="G128" s="20"/>
      <c r="H128" s="7" t="str">
        <f t="shared" si="1"/>
        <v/>
      </c>
    </row>
    <row r="129" spans="1:8" x14ac:dyDescent="0.2">
      <c r="A129" s="7">
        <v>125</v>
      </c>
      <c r="B129" s="7" t="s">
        <v>114</v>
      </c>
      <c r="C129" s="7" t="s">
        <v>462</v>
      </c>
      <c r="D129" s="7" t="s">
        <v>463</v>
      </c>
      <c r="E129" s="7" t="s">
        <v>213</v>
      </c>
      <c r="F129" s="20"/>
      <c r="G129" s="20"/>
      <c r="H129" s="7" t="str">
        <f t="shared" si="1"/>
        <v/>
      </c>
    </row>
    <row r="130" spans="1:8" x14ac:dyDescent="0.2">
      <c r="A130" s="7">
        <v>126</v>
      </c>
      <c r="B130" s="7" t="s">
        <v>114</v>
      </c>
      <c r="C130" s="7" t="s">
        <v>464</v>
      </c>
      <c r="D130" s="7" t="s">
        <v>465</v>
      </c>
      <c r="E130" s="7" t="s">
        <v>226</v>
      </c>
      <c r="F130" s="20"/>
      <c r="G130" s="20"/>
      <c r="H130" s="7" t="str">
        <f t="shared" si="1"/>
        <v/>
      </c>
    </row>
    <row r="131" spans="1:8" x14ac:dyDescent="0.2">
      <c r="A131" s="7">
        <v>127</v>
      </c>
      <c r="B131" s="7" t="s">
        <v>114</v>
      </c>
      <c r="C131" s="7" t="s">
        <v>466</v>
      </c>
      <c r="D131" s="7" t="s">
        <v>467</v>
      </c>
      <c r="E131" s="7" t="s">
        <v>226</v>
      </c>
      <c r="F131" s="20"/>
      <c r="G131" s="20"/>
      <c r="H131" s="7" t="str">
        <f t="shared" si="1"/>
        <v/>
      </c>
    </row>
    <row r="132" spans="1:8" x14ac:dyDescent="0.2">
      <c r="A132" s="7">
        <v>128</v>
      </c>
      <c r="B132" s="7" t="s">
        <v>114</v>
      </c>
      <c r="C132" s="7" t="s">
        <v>468</v>
      </c>
      <c r="D132" s="7" t="s">
        <v>469</v>
      </c>
      <c r="E132" s="7" t="s">
        <v>213</v>
      </c>
      <c r="F132" s="20"/>
      <c r="G132" s="20"/>
      <c r="H132" s="7" t="str">
        <f t="shared" si="1"/>
        <v/>
      </c>
    </row>
    <row r="133" spans="1:8" x14ac:dyDescent="0.2">
      <c r="A133" s="7">
        <v>129</v>
      </c>
      <c r="B133" s="7" t="s">
        <v>114</v>
      </c>
      <c r="C133" s="7" t="s">
        <v>470</v>
      </c>
      <c r="D133" s="7" t="s">
        <v>471</v>
      </c>
      <c r="E133" s="7" t="s">
        <v>226</v>
      </c>
      <c r="F133" s="20"/>
      <c r="G133" s="20"/>
      <c r="H133" s="7" t="str">
        <f t="shared" ref="H133:H196" si="2">IF(OR(F133="",G133=""),"",F133*G133)</f>
        <v/>
      </c>
    </row>
    <row r="134" spans="1:8" x14ac:dyDescent="0.2">
      <c r="A134" s="7">
        <v>130</v>
      </c>
      <c r="B134" s="7" t="s">
        <v>114</v>
      </c>
      <c r="C134" s="7" t="s">
        <v>472</v>
      </c>
      <c r="D134" s="7" t="s">
        <v>473</v>
      </c>
      <c r="E134" s="7" t="s">
        <v>213</v>
      </c>
      <c r="F134" s="20"/>
      <c r="G134" s="20"/>
      <c r="H134" s="7" t="str">
        <f t="shared" si="2"/>
        <v/>
      </c>
    </row>
    <row r="135" spans="1:8" x14ac:dyDescent="0.2">
      <c r="A135" s="7">
        <v>131</v>
      </c>
      <c r="B135" s="7" t="s">
        <v>114</v>
      </c>
      <c r="C135" s="7" t="s">
        <v>474</v>
      </c>
      <c r="D135" s="7" t="s">
        <v>475</v>
      </c>
      <c r="E135" s="7" t="s">
        <v>226</v>
      </c>
      <c r="F135" s="20"/>
      <c r="G135" s="20"/>
      <c r="H135" s="7" t="str">
        <f t="shared" si="2"/>
        <v/>
      </c>
    </row>
    <row r="136" spans="1:8" x14ac:dyDescent="0.2">
      <c r="A136" s="7">
        <v>132</v>
      </c>
      <c r="B136" s="7" t="s">
        <v>114</v>
      </c>
      <c r="C136" s="7" t="s">
        <v>476</v>
      </c>
      <c r="D136" s="7" t="s">
        <v>477</v>
      </c>
      <c r="E136" s="7" t="s">
        <v>213</v>
      </c>
      <c r="F136" s="20"/>
      <c r="G136" s="20"/>
      <c r="H136" s="7" t="str">
        <f t="shared" si="2"/>
        <v/>
      </c>
    </row>
    <row r="137" spans="1:8" x14ac:dyDescent="0.2">
      <c r="A137" s="7">
        <v>133</v>
      </c>
      <c r="B137" s="7" t="s">
        <v>114</v>
      </c>
      <c r="C137" s="7" t="s">
        <v>478</v>
      </c>
      <c r="D137" s="7" t="s">
        <v>479</v>
      </c>
      <c r="E137" s="7" t="s">
        <v>226</v>
      </c>
      <c r="F137" s="20"/>
      <c r="G137" s="20"/>
      <c r="H137" s="7" t="str">
        <f t="shared" si="2"/>
        <v/>
      </c>
    </row>
    <row r="138" spans="1:8" x14ac:dyDescent="0.2">
      <c r="A138" s="7">
        <v>134</v>
      </c>
      <c r="B138" s="7" t="s">
        <v>114</v>
      </c>
      <c r="C138" s="7" t="s">
        <v>480</v>
      </c>
      <c r="D138" s="7" t="s">
        <v>481</v>
      </c>
      <c r="E138" s="7" t="s">
        <v>226</v>
      </c>
      <c r="F138" s="20"/>
      <c r="G138" s="20"/>
      <c r="H138" s="7" t="str">
        <f t="shared" si="2"/>
        <v/>
      </c>
    </row>
    <row r="139" spans="1:8" x14ac:dyDescent="0.2">
      <c r="A139" s="7">
        <v>135</v>
      </c>
      <c r="B139" s="7" t="s">
        <v>114</v>
      </c>
      <c r="C139" s="7" t="s">
        <v>482</v>
      </c>
      <c r="D139" s="7" t="s">
        <v>483</v>
      </c>
      <c r="E139" s="7" t="s">
        <v>213</v>
      </c>
      <c r="F139" s="20"/>
      <c r="G139" s="20"/>
      <c r="H139" s="7" t="str">
        <f t="shared" si="2"/>
        <v/>
      </c>
    </row>
    <row r="140" spans="1:8" x14ac:dyDescent="0.2">
      <c r="A140" s="7">
        <v>136</v>
      </c>
      <c r="B140" s="7" t="s">
        <v>114</v>
      </c>
      <c r="C140" s="7" t="s">
        <v>484</v>
      </c>
      <c r="D140" s="7" t="s">
        <v>485</v>
      </c>
      <c r="E140" s="7" t="s">
        <v>226</v>
      </c>
      <c r="F140" s="20"/>
      <c r="G140" s="20"/>
      <c r="H140" s="7" t="str">
        <f t="shared" si="2"/>
        <v/>
      </c>
    </row>
    <row r="141" spans="1:8" x14ac:dyDescent="0.2">
      <c r="A141" s="7">
        <v>137</v>
      </c>
      <c r="B141" s="7" t="s">
        <v>114</v>
      </c>
      <c r="C141" s="7" t="s">
        <v>486</v>
      </c>
      <c r="D141" s="7" t="s">
        <v>487</v>
      </c>
      <c r="E141" s="7" t="s">
        <v>213</v>
      </c>
      <c r="F141" s="20"/>
      <c r="G141" s="20"/>
      <c r="H141" s="7" t="str">
        <f t="shared" si="2"/>
        <v/>
      </c>
    </row>
    <row r="142" spans="1:8" x14ac:dyDescent="0.2">
      <c r="A142" s="7">
        <v>138</v>
      </c>
      <c r="B142" s="7" t="s">
        <v>114</v>
      </c>
      <c r="C142" s="7" t="s">
        <v>488</v>
      </c>
      <c r="D142" s="7" t="s">
        <v>489</v>
      </c>
      <c r="E142" s="7" t="s">
        <v>213</v>
      </c>
      <c r="F142" s="20"/>
      <c r="G142" s="20"/>
      <c r="H142" s="7" t="str">
        <f t="shared" si="2"/>
        <v/>
      </c>
    </row>
    <row r="143" spans="1:8" x14ac:dyDescent="0.2">
      <c r="A143" s="7">
        <v>139</v>
      </c>
      <c r="B143" s="7" t="s">
        <v>114</v>
      </c>
      <c r="C143" s="7" t="s">
        <v>490</v>
      </c>
      <c r="D143" s="7" t="s">
        <v>491</v>
      </c>
      <c r="E143" s="7" t="s">
        <v>226</v>
      </c>
      <c r="F143" s="20"/>
      <c r="G143" s="20"/>
      <c r="H143" s="7" t="str">
        <f t="shared" si="2"/>
        <v/>
      </c>
    </row>
    <row r="144" spans="1:8" x14ac:dyDescent="0.2">
      <c r="A144" s="7">
        <v>140</v>
      </c>
      <c r="B144" s="7" t="s">
        <v>114</v>
      </c>
      <c r="C144" s="7" t="s">
        <v>492</v>
      </c>
      <c r="D144" s="7" t="s">
        <v>493</v>
      </c>
      <c r="E144" s="7" t="s">
        <v>226</v>
      </c>
      <c r="F144" s="20"/>
      <c r="G144" s="20"/>
      <c r="H144" s="7" t="str">
        <f t="shared" si="2"/>
        <v/>
      </c>
    </row>
    <row r="145" spans="1:8" x14ac:dyDescent="0.2">
      <c r="A145" s="7">
        <v>141</v>
      </c>
      <c r="B145" s="7" t="s">
        <v>119</v>
      </c>
      <c r="C145" s="7" t="s">
        <v>494</v>
      </c>
      <c r="D145" s="7" t="s">
        <v>495</v>
      </c>
      <c r="E145" s="7" t="s">
        <v>213</v>
      </c>
      <c r="F145" s="20"/>
      <c r="G145" s="20"/>
      <c r="H145" s="7" t="str">
        <f t="shared" si="2"/>
        <v/>
      </c>
    </row>
    <row r="146" spans="1:8" x14ac:dyDescent="0.2">
      <c r="A146" s="7">
        <v>142</v>
      </c>
      <c r="B146" s="7" t="s">
        <v>119</v>
      </c>
      <c r="C146" s="7" t="s">
        <v>496</v>
      </c>
      <c r="D146" s="7" t="s">
        <v>497</v>
      </c>
      <c r="E146" s="7" t="s">
        <v>213</v>
      </c>
      <c r="F146" s="20"/>
      <c r="G146" s="20"/>
      <c r="H146" s="7" t="str">
        <f t="shared" si="2"/>
        <v/>
      </c>
    </row>
    <row r="147" spans="1:8" x14ac:dyDescent="0.2">
      <c r="A147" s="7">
        <v>143</v>
      </c>
      <c r="B147" s="7" t="s">
        <v>119</v>
      </c>
      <c r="C147" s="7" t="s">
        <v>498</v>
      </c>
      <c r="D147" s="7" t="s">
        <v>499</v>
      </c>
      <c r="E147" s="7" t="s">
        <v>213</v>
      </c>
      <c r="F147" s="20"/>
      <c r="G147" s="20"/>
      <c r="H147" s="7" t="str">
        <f t="shared" si="2"/>
        <v/>
      </c>
    </row>
    <row r="148" spans="1:8" x14ac:dyDescent="0.2">
      <c r="A148" s="7">
        <v>144</v>
      </c>
      <c r="B148" s="7" t="s">
        <v>119</v>
      </c>
      <c r="C148" s="7" t="s">
        <v>500</v>
      </c>
      <c r="D148" s="7" t="s">
        <v>501</v>
      </c>
      <c r="E148" s="7" t="s">
        <v>226</v>
      </c>
      <c r="F148" s="20"/>
      <c r="G148" s="20"/>
      <c r="H148" s="7" t="str">
        <f t="shared" si="2"/>
        <v/>
      </c>
    </row>
    <row r="149" spans="1:8" x14ac:dyDescent="0.2">
      <c r="A149" s="7">
        <v>145</v>
      </c>
      <c r="B149" s="7" t="s">
        <v>119</v>
      </c>
      <c r="C149" s="7" t="s">
        <v>502</v>
      </c>
      <c r="D149" s="7" t="s">
        <v>503</v>
      </c>
      <c r="E149" s="7" t="s">
        <v>213</v>
      </c>
      <c r="F149" s="20"/>
      <c r="G149" s="20"/>
      <c r="H149" s="7" t="str">
        <f t="shared" si="2"/>
        <v/>
      </c>
    </row>
    <row r="150" spans="1:8" x14ac:dyDescent="0.2">
      <c r="A150" s="7">
        <v>146</v>
      </c>
      <c r="B150" s="7" t="s">
        <v>119</v>
      </c>
      <c r="C150" s="7" t="s">
        <v>504</v>
      </c>
      <c r="D150" s="7" t="s">
        <v>505</v>
      </c>
      <c r="E150" s="7" t="s">
        <v>213</v>
      </c>
      <c r="F150" s="20"/>
      <c r="G150" s="20"/>
      <c r="H150" s="7" t="str">
        <f t="shared" si="2"/>
        <v/>
      </c>
    </row>
    <row r="151" spans="1:8" x14ac:dyDescent="0.2">
      <c r="A151" s="7">
        <v>147</v>
      </c>
      <c r="B151" s="7" t="s">
        <v>119</v>
      </c>
      <c r="C151" s="7" t="s">
        <v>506</v>
      </c>
      <c r="D151" s="7" t="s">
        <v>507</v>
      </c>
      <c r="E151" s="7" t="s">
        <v>213</v>
      </c>
      <c r="F151" s="20"/>
      <c r="G151" s="20"/>
      <c r="H151" s="7" t="str">
        <f t="shared" si="2"/>
        <v/>
      </c>
    </row>
    <row r="152" spans="1:8" x14ac:dyDescent="0.2">
      <c r="A152" s="7">
        <v>148</v>
      </c>
      <c r="B152" s="7" t="s">
        <v>119</v>
      </c>
      <c r="C152" s="7" t="s">
        <v>508</v>
      </c>
      <c r="D152" s="7" t="s">
        <v>509</v>
      </c>
      <c r="E152" s="7" t="s">
        <v>226</v>
      </c>
      <c r="F152" s="20"/>
      <c r="G152" s="20"/>
      <c r="H152" s="7" t="str">
        <f t="shared" si="2"/>
        <v/>
      </c>
    </row>
    <row r="153" spans="1:8" x14ac:dyDescent="0.2">
      <c r="A153" s="7">
        <v>149</v>
      </c>
      <c r="B153" s="7" t="s">
        <v>119</v>
      </c>
      <c r="C153" s="7" t="s">
        <v>510</v>
      </c>
      <c r="D153" s="7" t="s">
        <v>511</v>
      </c>
      <c r="E153" s="7" t="s">
        <v>213</v>
      </c>
      <c r="F153" s="20"/>
      <c r="G153" s="20"/>
      <c r="H153" s="7" t="str">
        <f t="shared" si="2"/>
        <v/>
      </c>
    </row>
    <row r="154" spans="1:8" x14ac:dyDescent="0.2">
      <c r="A154" s="7">
        <v>150</v>
      </c>
      <c r="B154" s="7" t="s">
        <v>119</v>
      </c>
      <c r="C154" s="7" t="s">
        <v>512</v>
      </c>
      <c r="D154" s="7" t="s">
        <v>513</v>
      </c>
      <c r="E154" s="7" t="s">
        <v>213</v>
      </c>
      <c r="F154" s="20"/>
      <c r="G154" s="20"/>
      <c r="H154" s="7" t="str">
        <f t="shared" si="2"/>
        <v/>
      </c>
    </row>
    <row r="155" spans="1:8" x14ac:dyDescent="0.2">
      <c r="A155" s="7">
        <v>151</v>
      </c>
      <c r="B155" s="7" t="s">
        <v>119</v>
      </c>
      <c r="C155" s="7" t="s">
        <v>514</v>
      </c>
      <c r="D155" s="7" t="s">
        <v>515</v>
      </c>
      <c r="E155" s="7" t="s">
        <v>226</v>
      </c>
      <c r="F155" s="20"/>
      <c r="G155" s="20"/>
      <c r="H155" s="7" t="str">
        <f t="shared" si="2"/>
        <v/>
      </c>
    </row>
    <row r="156" spans="1:8" x14ac:dyDescent="0.2">
      <c r="A156" s="7">
        <v>152</v>
      </c>
      <c r="B156" s="7" t="s">
        <v>119</v>
      </c>
      <c r="C156" s="7" t="s">
        <v>516</v>
      </c>
      <c r="D156" s="7" t="s">
        <v>517</v>
      </c>
      <c r="E156" s="7" t="s">
        <v>226</v>
      </c>
      <c r="F156" s="20"/>
      <c r="G156" s="20"/>
      <c r="H156" s="7" t="str">
        <f t="shared" si="2"/>
        <v/>
      </c>
    </row>
    <row r="157" spans="1:8" x14ac:dyDescent="0.2">
      <c r="A157" s="7">
        <v>153</v>
      </c>
      <c r="B157" s="7" t="s">
        <v>119</v>
      </c>
      <c r="C157" s="7" t="s">
        <v>518</v>
      </c>
      <c r="D157" s="7" t="s">
        <v>519</v>
      </c>
      <c r="E157" s="7" t="s">
        <v>226</v>
      </c>
      <c r="F157" s="20"/>
      <c r="G157" s="20"/>
      <c r="H157" s="7" t="str">
        <f t="shared" si="2"/>
        <v/>
      </c>
    </row>
    <row r="158" spans="1:8" x14ac:dyDescent="0.2">
      <c r="A158" s="7">
        <v>154</v>
      </c>
      <c r="B158" s="7" t="s">
        <v>119</v>
      </c>
      <c r="C158" s="7" t="s">
        <v>520</v>
      </c>
      <c r="D158" s="7" t="s">
        <v>521</v>
      </c>
      <c r="E158" s="7" t="s">
        <v>213</v>
      </c>
      <c r="F158" s="20"/>
      <c r="G158" s="20"/>
      <c r="H158" s="7" t="str">
        <f t="shared" si="2"/>
        <v/>
      </c>
    </row>
    <row r="159" spans="1:8" x14ac:dyDescent="0.2">
      <c r="A159" s="7">
        <v>155</v>
      </c>
      <c r="B159" s="7" t="s">
        <v>119</v>
      </c>
      <c r="C159" s="7" t="s">
        <v>522</v>
      </c>
      <c r="D159" s="7" t="s">
        <v>523</v>
      </c>
      <c r="E159" s="7" t="s">
        <v>213</v>
      </c>
      <c r="F159" s="20"/>
      <c r="G159" s="20"/>
      <c r="H159" s="7" t="str">
        <f t="shared" si="2"/>
        <v/>
      </c>
    </row>
    <row r="160" spans="1:8" x14ac:dyDescent="0.2">
      <c r="A160" s="7">
        <v>156</v>
      </c>
      <c r="B160" s="7" t="s">
        <v>119</v>
      </c>
      <c r="C160" s="7" t="s">
        <v>524</v>
      </c>
      <c r="D160" s="7" t="s">
        <v>525</v>
      </c>
      <c r="E160" s="7" t="s">
        <v>226</v>
      </c>
      <c r="F160" s="20"/>
      <c r="G160" s="20"/>
      <c r="H160" s="7" t="str">
        <f t="shared" si="2"/>
        <v/>
      </c>
    </row>
    <row r="161" spans="1:8" x14ac:dyDescent="0.2">
      <c r="A161" s="7">
        <v>157</v>
      </c>
      <c r="B161" s="7" t="s">
        <v>119</v>
      </c>
      <c r="C161" s="7" t="s">
        <v>526</v>
      </c>
      <c r="D161" s="7" t="s">
        <v>527</v>
      </c>
      <c r="E161" s="7" t="s">
        <v>213</v>
      </c>
      <c r="F161" s="20"/>
      <c r="G161" s="20"/>
      <c r="H161" s="7" t="str">
        <f t="shared" si="2"/>
        <v/>
      </c>
    </row>
    <row r="162" spans="1:8" x14ac:dyDescent="0.2">
      <c r="A162" s="7">
        <v>158</v>
      </c>
      <c r="B162" s="7" t="s">
        <v>119</v>
      </c>
      <c r="C162" s="7" t="s">
        <v>528</v>
      </c>
      <c r="D162" s="7" t="s">
        <v>529</v>
      </c>
      <c r="E162" s="7" t="s">
        <v>253</v>
      </c>
      <c r="F162" s="20"/>
      <c r="G162" s="20"/>
      <c r="H162" s="7" t="str">
        <f t="shared" si="2"/>
        <v/>
      </c>
    </row>
    <row r="163" spans="1:8" x14ac:dyDescent="0.2">
      <c r="A163" s="7">
        <v>159</v>
      </c>
      <c r="B163" s="7" t="s">
        <v>119</v>
      </c>
      <c r="C163" s="7" t="s">
        <v>530</v>
      </c>
      <c r="D163" s="7" t="s">
        <v>531</v>
      </c>
      <c r="E163" s="7" t="s">
        <v>226</v>
      </c>
      <c r="F163" s="20"/>
      <c r="G163" s="20"/>
      <c r="H163" s="7" t="str">
        <f t="shared" si="2"/>
        <v/>
      </c>
    </row>
    <row r="164" spans="1:8" x14ac:dyDescent="0.2">
      <c r="A164" s="7">
        <v>160</v>
      </c>
      <c r="B164" s="7" t="s">
        <v>119</v>
      </c>
      <c r="C164" s="7" t="s">
        <v>532</v>
      </c>
      <c r="D164" s="7" t="s">
        <v>533</v>
      </c>
      <c r="E164" s="7" t="s">
        <v>226</v>
      </c>
      <c r="F164" s="20"/>
      <c r="G164" s="20"/>
      <c r="H164" s="7" t="str">
        <f t="shared" si="2"/>
        <v/>
      </c>
    </row>
    <row r="165" spans="1:8" x14ac:dyDescent="0.2">
      <c r="A165" s="7">
        <v>161</v>
      </c>
      <c r="B165" s="7" t="s">
        <v>119</v>
      </c>
      <c r="C165" s="7" t="s">
        <v>534</v>
      </c>
      <c r="D165" s="7" t="s">
        <v>535</v>
      </c>
      <c r="E165" s="7" t="s">
        <v>226</v>
      </c>
      <c r="F165" s="20"/>
      <c r="G165" s="20"/>
      <c r="H165" s="7" t="str">
        <f t="shared" si="2"/>
        <v/>
      </c>
    </row>
    <row r="166" spans="1:8" x14ac:dyDescent="0.2">
      <c r="A166" s="7">
        <v>162</v>
      </c>
      <c r="B166" s="7" t="s">
        <v>119</v>
      </c>
      <c r="C166" s="7" t="s">
        <v>536</v>
      </c>
      <c r="D166" s="7" t="s">
        <v>537</v>
      </c>
      <c r="E166" s="7" t="s">
        <v>213</v>
      </c>
      <c r="F166" s="20"/>
      <c r="G166" s="20"/>
      <c r="H166" s="7" t="str">
        <f t="shared" si="2"/>
        <v/>
      </c>
    </row>
    <row r="167" spans="1:8" x14ac:dyDescent="0.2">
      <c r="A167" s="7">
        <v>163</v>
      </c>
      <c r="B167" s="7" t="s">
        <v>119</v>
      </c>
      <c r="C167" s="7" t="s">
        <v>538</v>
      </c>
      <c r="D167" s="7" t="s">
        <v>539</v>
      </c>
      <c r="E167" s="7" t="s">
        <v>226</v>
      </c>
      <c r="F167" s="20"/>
      <c r="G167" s="20"/>
      <c r="H167" s="7" t="str">
        <f t="shared" si="2"/>
        <v/>
      </c>
    </row>
    <row r="168" spans="1:8" x14ac:dyDescent="0.2">
      <c r="A168" s="7">
        <v>164</v>
      </c>
      <c r="B168" s="7" t="s">
        <v>119</v>
      </c>
      <c r="C168" s="7" t="s">
        <v>540</v>
      </c>
      <c r="D168" s="7" t="s">
        <v>541</v>
      </c>
      <c r="E168" s="7" t="s">
        <v>213</v>
      </c>
      <c r="F168" s="20"/>
      <c r="G168" s="20"/>
      <c r="H168" s="7" t="str">
        <f t="shared" si="2"/>
        <v/>
      </c>
    </row>
    <row r="169" spans="1:8" x14ac:dyDescent="0.2">
      <c r="A169" s="7">
        <v>165</v>
      </c>
      <c r="B169" s="7" t="s">
        <v>119</v>
      </c>
      <c r="C169" s="7" t="s">
        <v>542</v>
      </c>
      <c r="D169" s="7" t="s">
        <v>543</v>
      </c>
      <c r="E169" s="7" t="s">
        <v>226</v>
      </c>
      <c r="F169" s="20"/>
      <c r="G169" s="20"/>
      <c r="H169" s="7" t="str">
        <f t="shared" si="2"/>
        <v/>
      </c>
    </row>
    <row r="170" spans="1:8" x14ac:dyDescent="0.2">
      <c r="A170" s="7">
        <v>166</v>
      </c>
      <c r="B170" s="7" t="s">
        <v>119</v>
      </c>
      <c r="C170" s="7" t="s">
        <v>544</v>
      </c>
      <c r="D170" s="7" t="s">
        <v>545</v>
      </c>
      <c r="E170" s="7" t="s">
        <v>253</v>
      </c>
      <c r="F170" s="20"/>
      <c r="G170" s="20"/>
      <c r="H170" s="7" t="str">
        <f t="shared" si="2"/>
        <v/>
      </c>
    </row>
    <row r="171" spans="1:8" x14ac:dyDescent="0.2">
      <c r="A171" s="7">
        <v>167</v>
      </c>
      <c r="B171" s="7" t="s">
        <v>546</v>
      </c>
      <c r="C171" s="7" t="s">
        <v>547</v>
      </c>
      <c r="D171" s="7" t="s">
        <v>548</v>
      </c>
      <c r="E171" s="7" t="s">
        <v>253</v>
      </c>
      <c r="F171" s="20"/>
      <c r="G171" s="20"/>
      <c r="H171" s="7" t="str">
        <f t="shared" si="2"/>
        <v/>
      </c>
    </row>
    <row r="172" spans="1:8" x14ac:dyDescent="0.2">
      <c r="A172" s="7">
        <v>168</v>
      </c>
      <c r="B172" s="7" t="s">
        <v>546</v>
      </c>
      <c r="C172" s="7" t="s">
        <v>549</v>
      </c>
      <c r="D172" s="7" t="s">
        <v>550</v>
      </c>
      <c r="E172" s="7" t="s">
        <v>253</v>
      </c>
      <c r="F172" s="20"/>
      <c r="G172" s="20"/>
      <c r="H172" s="7" t="str">
        <f t="shared" si="2"/>
        <v/>
      </c>
    </row>
    <row r="173" spans="1:8" x14ac:dyDescent="0.2">
      <c r="A173" s="7">
        <v>169</v>
      </c>
      <c r="B173" s="7" t="s">
        <v>546</v>
      </c>
      <c r="C173" s="7" t="s">
        <v>551</v>
      </c>
      <c r="D173" s="7" t="s">
        <v>552</v>
      </c>
      <c r="E173" s="7" t="s">
        <v>253</v>
      </c>
      <c r="F173" s="20"/>
      <c r="G173" s="20"/>
      <c r="H173" s="7" t="str">
        <f t="shared" si="2"/>
        <v/>
      </c>
    </row>
    <row r="174" spans="1:8" x14ac:dyDescent="0.2">
      <c r="A174" s="7">
        <v>170</v>
      </c>
      <c r="B174" s="7" t="s">
        <v>546</v>
      </c>
      <c r="C174" s="7" t="s">
        <v>553</v>
      </c>
      <c r="D174" s="7" t="s">
        <v>554</v>
      </c>
      <c r="E174" s="7" t="s">
        <v>226</v>
      </c>
      <c r="F174" s="20"/>
      <c r="G174" s="20"/>
      <c r="H174" s="7" t="str">
        <f t="shared" si="2"/>
        <v/>
      </c>
    </row>
    <row r="175" spans="1:8" x14ac:dyDescent="0.2">
      <c r="A175" s="7">
        <v>171</v>
      </c>
      <c r="B175" s="7" t="s">
        <v>546</v>
      </c>
      <c r="C175" s="7" t="s">
        <v>555</v>
      </c>
      <c r="D175" s="7" t="s">
        <v>556</v>
      </c>
      <c r="E175" s="7" t="s">
        <v>226</v>
      </c>
      <c r="F175" s="20"/>
      <c r="G175" s="20"/>
      <c r="H175" s="7" t="str">
        <f t="shared" si="2"/>
        <v/>
      </c>
    </row>
    <row r="176" spans="1:8" x14ac:dyDescent="0.2">
      <c r="A176" s="7">
        <v>172</v>
      </c>
      <c r="B176" s="7" t="s">
        <v>546</v>
      </c>
      <c r="C176" s="7" t="s">
        <v>557</v>
      </c>
      <c r="D176" s="7" t="s">
        <v>558</v>
      </c>
      <c r="E176" s="7" t="s">
        <v>213</v>
      </c>
      <c r="F176" s="20"/>
      <c r="G176" s="20"/>
      <c r="H176" s="7" t="str">
        <f t="shared" si="2"/>
        <v/>
      </c>
    </row>
    <row r="177" spans="1:8" x14ac:dyDescent="0.2">
      <c r="A177" s="7">
        <v>173</v>
      </c>
      <c r="B177" s="7" t="s">
        <v>546</v>
      </c>
      <c r="C177" s="7" t="s">
        <v>559</v>
      </c>
      <c r="D177" s="7" t="s">
        <v>560</v>
      </c>
      <c r="E177" s="7" t="s">
        <v>253</v>
      </c>
      <c r="F177" s="20"/>
      <c r="G177" s="20"/>
      <c r="H177" s="7" t="str">
        <f t="shared" si="2"/>
        <v/>
      </c>
    </row>
    <row r="178" spans="1:8" x14ac:dyDescent="0.2">
      <c r="A178" s="7">
        <v>174</v>
      </c>
      <c r="B178" s="7" t="s">
        <v>546</v>
      </c>
      <c r="C178" s="7" t="s">
        <v>561</v>
      </c>
      <c r="D178" s="7" t="s">
        <v>562</v>
      </c>
      <c r="E178" s="7" t="s">
        <v>226</v>
      </c>
      <c r="F178" s="20"/>
      <c r="G178" s="20"/>
      <c r="H178" s="7" t="str">
        <f t="shared" si="2"/>
        <v/>
      </c>
    </row>
    <row r="179" spans="1:8" x14ac:dyDescent="0.2">
      <c r="A179" s="7">
        <v>175</v>
      </c>
      <c r="B179" s="7" t="s">
        <v>78</v>
      </c>
      <c r="C179" s="7" t="s">
        <v>563</v>
      </c>
      <c r="D179" s="7" t="s">
        <v>564</v>
      </c>
      <c r="E179" s="7" t="s">
        <v>226</v>
      </c>
      <c r="F179" s="20"/>
      <c r="G179" s="20"/>
      <c r="H179" s="7" t="str">
        <f t="shared" si="2"/>
        <v/>
      </c>
    </row>
    <row r="180" spans="1:8" ht="28" x14ac:dyDescent="0.2">
      <c r="A180" s="7">
        <v>176</v>
      </c>
      <c r="B180" s="7" t="s">
        <v>78</v>
      </c>
      <c r="C180" s="7" t="s">
        <v>565</v>
      </c>
      <c r="D180" s="7" t="s">
        <v>566</v>
      </c>
      <c r="E180" s="7" t="s">
        <v>213</v>
      </c>
      <c r="F180" s="20"/>
      <c r="G180" s="20"/>
      <c r="H180" s="7" t="str">
        <f t="shared" si="2"/>
        <v/>
      </c>
    </row>
    <row r="181" spans="1:8" ht="28" x14ac:dyDescent="0.2">
      <c r="A181" s="7">
        <v>177</v>
      </c>
      <c r="B181" s="7" t="s">
        <v>78</v>
      </c>
      <c r="C181" s="7" t="s">
        <v>567</v>
      </c>
      <c r="D181" s="7" t="s">
        <v>568</v>
      </c>
      <c r="E181" s="7" t="s">
        <v>226</v>
      </c>
      <c r="F181" s="20"/>
      <c r="G181" s="20"/>
      <c r="H181" s="7" t="str">
        <f t="shared" si="2"/>
        <v/>
      </c>
    </row>
    <row r="182" spans="1:8" x14ac:dyDescent="0.2">
      <c r="A182" s="7">
        <v>178</v>
      </c>
      <c r="B182" s="7" t="s">
        <v>78</v>
      </c>
      <c r="C182" s="7" t="s">
        <v>569</v>
      </c>
      <c r="D182" s="7" t="s">
        <v>570</v>
      </c>
      <c r="E182" s="7" t="s">
        <v>213</v>
      </c>
      <c r="F182" s="20"/>
      <c r="G182" s="20"/>
      <c r="H182" s="7" t="str">
        <f t="shared" si="2"/>
        <v/>
      </c>
    </row>
    <row r="183" spans="1:8" ht="28" x14ac:dyDescent="0.2">
      <c r="A183" s="7">
        <v>179</v>
      </c>
      <c r="B183" s="7" t="s">
        <v>78</v>
      </c>
      <c r="C183" s="7" t="s">
        <v>571</v>
      </c>
      <c r="D183" s="7" t="s">
        <v>572</v>
      </c>
      <c r="E183" s="7" t="s">
        <v>213</v>
      </c>
      <c r="F183" s="20"/>
      <c r="G183" s="20"/>
      <c r="H183" s="7" t="str">
        <f t="shared" si="2"/>
        <v/>
      </c>
    </row>
    <row r="184" spans="1:8" x14ac:dyDescent="0.2">
      <c r="A184" s="7">
        <v>180</v>
      </c>
      <c r="B184" s="7" t="s">
        <v>78</v>
      </c>
      <c r="C184" s="7" t="s">
        <v>573</v>
      </c>
      <c r="D184" s="7" t="s">
        <v>574</v>
      </c>
      <c r="E184" s="7" t="s">
        <v>226</v>
      </c>
      <c r="F184" s="20"/>
      <c r="G184" s="20"/>
      <c r="H184" s="7" t="str">
        <f t="shared" si="2"/>
        <v/>
      </c>
    </row>
    <row r="185" spans="1:8" x14ac:dyDescent="0.2">
      <c r="A185" s="7">
        <v>181</v>
      </c>
      <c r="B185" s="7" t="s">
        <v>78</v>
      </c>
      <c r="C185" s="7" t="s">
        <v>575</v>
      </c>
      <c r="D185" s="7" t="s">
        <v>576</v>
      </c>
      <c r="E185" s="7" t="s">
        <v>226</v>
      </c>
      <c r="F185" s="20"/>
      <c r="G185" s="20"/>
      <c r="H185" s="7" t="str">
        <f t="shared" si="2"/>
        <v/>
      </c>
    </row>
    <row r="186" spans="1:8" x14ac:dyDescent="0.2">
      <c r="A186" s="7">
        <v>182</v>
      </c>
      <c r="B186" s="7" t="s">
        <v>92</v>
      </c>
      <c r="C186" s="7" t="s">
        <v>577</v>
      </c>
      <c r="D186" s="7" t="s">
        <v>578</v>
      </c>
      <c r="E186" s="7" t="s">
        <v>226</v>
      </c>
      <c r="F186" s="20"/>
      <c r="G186" s="20"/>
      <c r="H186" s="7" t="str">
        <f t="shared" si="2"/>
        <v/>
      </c>
    </row>
    <row r="187" spans="1:8" x14ac:dyDescent="0.2">
      <c r="A187" s="7">
        <v>183</v>
      </c>
      <c r="B187" s="7" t="s">
        <v>92</v>
      </c>
      <c r="C187" s="7" t="s">
        <v>579</v>
      </c>
      <c r="D187" s="7" t="s">
        <v>580</v>
      </c>
      <c r="E187" s="7" t="s">
        <v>226</v>
      </c>
      <c r="F187" s="20"/>
      <c r="G187" s="20"/>
      <c r="H187" s="7" t="str">
        <f t="shared" si="2"/>
        <v/>
      </c>
    </row>
    <row r="188" spans="1:8" x14ac:dyDescent="0.2">
      <c r="A188" s="7">
        <v>184</v>
      </c>
      <c r="B188" s="7" t="s">
        <v>92</v>
      </c>
      <c r="C188" s="7" t="s">
        <v>581</v>
      </c>
      <c r="D188" s="7" t="s">
        <v>582</v>
      </c>
      <c r="E188" s="7" t="s">
        <v>213</v>
      </c>
      <c r="F188" s="20"/>
      <c r="G188" s="20"/>
      <c r="H188" s="7" t="str">
        <f t="shared" si="2"/>
        <v/>
      </c>
    </row>
    <row r="189" spans="1:8" x14ac:dyDescent="0.2">
      <c r="A189" s="7">
        <v>185</v>
      </c>
      <c r="B189" s="7" t="s">
        <v>92</v>
      </c>
      <c r="C189" s="7" t="s">
        <v>583</v>
      </c>
      <c r="D189" s="7" t="s">
        <v>584</v>
      </c>
      <c r="E189" s="7" t="s">
        <v>226</v>
      </c>
      <c r="F189" s="20"/>
      <c r="G189" s="20"/>
      <c r="H189" s="7" t="str">
        <f t="shared" si="2"/>
        <v/>
      </c>
    </row>
    <row r="190" spans="1:8" x14ac:dyDescent="0.2">
      <c r="A190" s="7">
        <v>186</v>
      </c>
      <c r="B190" s="7" t="s">
        <v>92</v>
      </c>
      <c r="C190" s="7" t="s">
        <v>585</v>
      </c>
      <c r="D190" s="7" t="s">
        <v>586</v>
      </c>
      <c r="E190" s="7" t="s">
        <v>253</v>
      </c>
      <c r="F190" s="20"/>
      <c r="G190" s="20"/>
      <c r="H190" s="7" t="str">
        <f t="shared" si="2"/>
        <v/>
      </c>
    </row>
    <row r="191" spans="1:8" x14ac:dyDescent="0.2">
      <c r="A191" s="7">
        <v>187</v>
      </c>
      <c r="B191" s="7" t="s">
        <v>92</v>
      </c>
      <c r="C191" s="7" t="s">
        <v>587</v>
      </c>
      <c r="D191" s="7" t="s">
        <v>588</v>
      </c>
      <c r="E191" s="7" t="s">
        <v>213</v>
      </c>
      <c r="F191" s="20"/>
      <c r="G191" s="20"/>
      <c r="H191" s="7" t="str">
        <f t="shared" si="2"/>
        <v/>
      </c>
    </row>
    <row r="192" spans="1:8" x14ac:dyDescent="0.2">
      <c r="A192" s="7">
        <v>188</v>
      </c>
      <c r="B192" s="7" t="s">
        <v>108</v>
      </c>
      <c r="C192" s="7" t="s">
        <v>589</v>
      </c>
      <c r="D192" s="7" t="s">
        <v>590</v>
      </c>
      <c r="E192" s="7" t="s">
        <v>226</v>
      </c>
      <c r="F192" s="20"/>
      <c r="G192" s="20"/>
      <c r="H192" s="7" t="str">
        <f t="shared" si="2"/>
        <v/>
      </c>
    </row>
    <row r="193" spans="1:8" x14ac:dyDescent="0.2">
      <c r="A193" s="7">
        <v>189</v>
      </c>
      <c r="B193" s="7" t="s">
        <v>108</v>
      </c>
      <c r="C193" s="7" t="s">
        <v>591</v>
      </c>
      <c r="D193" s="7" t="s">
        <v>592</v>
      </c>
      <c r="E193" s="7" t="s">
        <v>226</v>
      </c>
      <c r="F193" s="20"/>
      <c r="G193" s="20"/>
      <c r="H193" s="7" t="str">
        <f t="shared" si="2"/>
        <v/>
      </c>
    </row>
    <row r="194" spans="1:8" x14ac:dyDescent="0.2">
      <c r="A194" s="7">
        <v>190</v>
      </c>
      <c r="B194" s="7" t="s">
        <v>108</v>
      </c>
      <c r="C194" s="7" t="s">
        <v>593</v>
      </c>
      <c r="D194" s="7" t="s">
        <v>594</v>
      </c>
      <c r="E194" s="7" t="s">
        <v>226</v>
      </c>
      <c r="F194" s="20"/>
      <c r="G194" s="20"/>
      <c r="H194" s="7" t="str">
        <f t="shared" si="2"/>
        <v/>
      </c>
    </row>
    <row r="195" spans="1:8" x14ac:dyDescent="0.2">
      <c r="A195" s="7">
        <v>191</v>
      </c>
      <c r="B195" s="7" t="s">
        <v>108</v>
      </c>
      <c r="C195" s="7" t="s">
        <v>595</v>
      </c>
      <c r="D195" s="7" t="s">
        <v>596</v>
      </c>
      <c r="E195" s="7" t="s">
        <v>226</v>
      </c>
      <c r="F195" s="20"/>
      <c r="G195" s="20"/>
      <c r="H195" s="7" t="str">
        <f t="shared" si="2"/>
        <v/>
      </c>
    </row>
    <row r="196" spans="1:8" x14ac:dyDescent="0.2">
      <c r="A196" s="7">
        <v>192</v>
      </c>
      <c r="B196" s="7" t="s">
        <v>108</v>
      </c>
      <c r="C196" s="7" t="s">
        <v>597</v>
      </c>
      <c r="D196" s="7" t="s">
        <v>598</v>
      </c>
      <c r="E196" s="7" t="s">
        <v>253</v>
      </c>
      <c r="F196" s="20"/>
      <c r="G196" s="20"/>
      <c r="H196" s="7" t="str">
        <f t="shared" si="2"/>
        <v/>
      </c>
    </row>
    <row r="197" spans="1:8" x14ac:dyDescent="0.2">
      <c r="A197" s="7">
        <v>193</v>
      </c>
      <c r="B197" s="7" t="s">
        <v>108</v>
      </c>
      <c r="C197" s="7" t="s">
        <v>599</v>
      </c>
      <c r="D197" s="7" t="s">
        <v>600</v>
      </c>
      <c r="E197" s="7" t="s">
        <v>253</v>
      </c>
      <c r="F197" s="20"/>
      <c r="G197" s="20"/>
      <c r="H197" s="7" t="str">
        <f t="shared" ref="H197:H260" si="3">IF(OR(F197="",G197=""),"",F197*G197)</f>
        <v/>
      </c>
    </row>
    <row r="198" spans="1:8" x14ac:dyDescent="0.2">
      <c r="A198" s="7">
        <v>194</v>
      </c>
      <c r="B198" s="7" t="s">
        <v>108</v>
      </c>
      <c r="C198" s="7" t="s">
        <v>601</v>
      </c>
      <c r="D198" s="7" t="s">
        <v>602</v>
      </c>
      <c r="E198" s="7" t="s">
        <v>253</v>
      </c>
      <c r="F198" s="20"/>
      <c r="G198" s="20"/>
      <c r="H198" s="7" t="str">
        <f t="shared" si="3"/>
        <v/>
      </c>
    </row>
    <row r="199" spans="1:8" x14ac:dyDescent="0.2">
      <c r="A199" s="7">
        <v>195</v>
      </c>
      <c r="B199" s="7" t="s">
        <v>108</v>
      </c>
      <c r="C199" s="7" t="s">
        <v>603</v>
      </c>
      <c r="D199" s="7" t="s">
        <v>604</v>
      </c>
      <c r="E199" s="7" t="s">
        <v>226</v>
      </c>
      <c r="F199" s="20"/>
      <c r="G199" s="20"/>
      <c r="H199" s="7" t="str">
        <f t="shared" si="3"/>
        <v/>
      </c>
    </row>
    <row r="200" spans="1:8" x14ac:dyDescent="0.2">
      <c r="A200" s="7">
        <v>196</v>
      </c>
      <c r="B200" s="7" t="s">
        <v>108</v>
      </c>
      <c r="C200" s="7" t="s">
        <v>605</v>
      </c>
      <c r="D200" s="7" t="s">
        <v>606</v>
      </c>
      <c r="E200" s="7" t="s">
        <v>226</v>
      </c>
      <c r="F200" s="20"/>
      <c r="G200" s="20"/>
      <c r="H200" s="7" t="str">
        <f t="shared" si="3"/>
        <v/>
      </c>
    </row>
    <row r="201" spans="1:8" x14ac:dyDescent="0.2">
      <c r="A201" s="7">
        <v>197</v>
      </c>
      <c r="B201" s="7" t="s">
        <v>108</v>
      </c>
      <c r="C201" s="7" t="s">
        <v>607</v>
      </c>
      <c r="D201" s="7" t="s">
        <v>608</v>
      </c>
      <c r="E201" s="7" t="s">
        <v>226</v>
      </c>
      <c r="F201" s="20"/>
      <c r="G201" s="20"/>
      <c r="H201" s="7" t="str">
        <f t="shared" si="3"/>
        <v/>
      </c>
    </row>
    <row r="202" spans="1:8" x14ac:dyDescent="0.2">
      <c r="A202" s="7">
        <v>198</v>
      </c>
      <c r="B202" s="7" t="s">
        <v>108</v>
      </c>
      <c r="C202" s="7" t="s">
        <v>609</v>
      </c>
      <c r="D202" s="7" t="s">
        <v>610</v>
      </c>
      <c r="E202" s="7" t="s">
        <v>253</v>
      </c>
      <c r="F202" s="20"/>
      <c r="G202" s="20"/>
      <c r="H202" s="7" t="str">
        <f t="shared" si="3"/>
        <v/>
      </c>
    </row>
    <row r="203" spans="1:8" x14ac:dyDescent="0.2">
      <c r="A203" s="7">
        <v>199</v>
      </c>
      <c r="B203" s="7" t="s">
        <v>108</v>
      </c>
      <c r="C203" s="7" t="s">
        <v>611</v>
      </c>
      <c r="D203" s="7" t="s">
        <v>612</v>
      </c>
      <c r="E203" s="7" t="s">
        <v>226</v>
      </c>
      <c r="F203" s="20"/>
      <c r="G203" s="20"/>
      <c r="H203" s="7" t="str">
        <f t="shared" si="3"/>
        <v/>
      </c>
    </row>
    <row r="204" spans="1:8" x14ac:dyDescent="0.2">
      <c r="A204" s="7">
        <v>200</v>
      </c>
      <c r="B204" s="7" t="s">
        <v>108</v>
      </c>
      <c r="C204" s="7" t="s">
        <v>613</v>
      </c>
      <c r="D204" s="7" t="s">
        <v>614</v>
      </c>
      <c r="E204" s="7" t="s">
        <v>226</v>
      </c>
      <c r="F204" s="20"/>
      <c r="G204" s="20"/>
      <c r="H204" s="7" t="str">
        <f t="shared" si="3"/>
        <v/>
      </c>
    </row>
    <row r="205" spans="1:8" x14ac:dyDescent="0.2">
      <c r="A205" s="7">
        <v>201</v>
      </c>
      <c r="B205" s="7" t="s">
        <v>108</v>
      </c>
      <c r="C205" s="7" t="s">
        <v>615</v>
      </c>
      <c r="D205" s="7" t="s">
        <v>616</v>
      </c>
      <c r="E205" s="7" t="s">
        <v>213</v>
      </c>
      <c r="F205" s="20"/>
      <c r="G205" s="20"/>
      <c r="H205" s="7" t="str">
        <f t="shared" si="3"/>
        <v/>
      </c>
    </row>
    <row r="206" spans="1:8" x14ac:dyDescent="0.2">
      <c r="A206" s="7">
        <v>202</v>
      </c>
      <c r="B206" s="7" t="s">
        <v>108</v>
      </c>
      <c r="C206" s="7" t="s">
        <v>617</v>
      </c>
      <c r="D206" s="7" t="s">
        <v>618</v>
      </c>
      <c r="E206" s="7" t="s">
        <v>226</v>
      </c>
      <c r="F206" s="20"/>
      <c r="G206" s="20"/>
      <c r="H206" s="7" t="str">
        <f t="shared" si="3"/>
        <v/>
      </c>
    </row>
    <row r="207" spans="1:8" x14ac:dyDescent="0.2">
      <c r="A207" s="7">
        <v>203</v>
      </c>
      <c r="B207" s="7" t="s">
        <v>108</v>
      </c>
      <c r="C207" s="7" t="s">
        <v>619</v>
      </c>
      <c r="D207" s="7" t="s">
        <v>620</v>
      </c>
      <c r="E207" s="7" t="s">
        <v>226</v>
      </c>
      <c r="F207" s="20"/>
      <c r="G207" s="20"/>
      <c r="H207" s="7" t="str">
        <f t="shared" si="3"/>
        <v/>
      </c>
    </row>
    <row r="208" spans="1:8" x14ac:dyDescent="0.2">
      <c r="A208" s="7">
        <v>204</v>
      </c>
      <c r="B208" s="7" t="s">
        <v>108</v>
      </c>
      <c r="C208" s="7" t="s">
        <v>621</v>
      </c>
      <c r="D208" s="7" t="s">
        <v>622</v>
      </c>
      <c r="E208" s="7" t="s">
        <v>213</v>
      </c>
      <c r="F208" s="20"/>
      <c r="G208" s="20"/>
      <c r="H208" s="7" t="str">
        <f t="shared" si="3"/>
        <v/>
      </c>
    </row>
    <row r="209" spans="1:8" x14ac:dyDescent="0.2">
      <c r="A209" s="7">
        <v>205</v>
      </c>
      <c r="B209" s="7" t="s">
        <v>108</v>
      </c>
      <c r="C209" s="7" t="s">
        <v>623</v>
      </c>
      <c r="D209" s="7" t="s">
        <v>624</v>
      </c>
      <c r="E209" s="7" t="s">
        <v>226</v>
      </c>
      <c r="F209" s="20"/>
      <c r="G209" s="20"/>
      <c r="H209" s="7" t="str">
        <f t="shared" si="3"/>
        <v/>
      </c>
    </row>
    <row r="210" spans="1:8" x14ac:dyDescent="0.2">
      <c r="A210" s="7">
        <v>206</v>
      </c>
      <c r="B210" s="7" t="s">
        <v>108</v>
      </c>
      <c r="C210" s="7" t="s">
        <v>625</v>
      </c>
      <c r="D210" s="7" t="s">
        <v>626</v>
      </c>
      <c r="E210" s="7" t="s">
        <v>226</v>
      </c>
      <c r="F210" s="20"/>
      <c r="G210" s="20"/>
      <c r="H210" s="7" t="str">
        <f t="shared" si="3"/>
        <v/>
      </c>
    </row>
    <row r="211" spans="1:8" x14ac:dyDescent="0.2">
      <c r="A211" s="7">
        <v>207</v>
      </c>
      <c r="B211" s="7" t="s">
        <v>108</v>
      </c>
      <c r="C211" s="7" t="s">
        <v>627</v>
      </c>
      <c r="D211" s="7" t="s">
        <v>628</v>
      </c>
      <c r="E211" s="7" t="s">
        <v>253</v>
      </c>
      <c r="F211" s="20"/>
      <c r="G211" s="20"/>
      <c r="H211" s="7" t="str">
        <f t="shared" si="3"/>
        <v/>
      </c>
    </row>
    <row r="212" spans="1:8" x14ac:dyDescent="0.2">
      <c r="A212" s="7">
        <v>208</v>
      </c>
      <c r="B212" s="7" t="s">
        <v>102</v>
      </c>
      <c r="C212" s="7" t="s">
        <v>629</v>
      </c>
      <c r="D212" s="7" t="s">
        <v>630</v>
      </c>
      <c r="E212" s="7" t="s">
        <v>213</v>
      </c>
      <c r="F212" s="20"/>
      <c r="G212" s="20"/>
      <c r="H212" s="7" t="str">
        <f t="shared" si="3"/>
        <v/>
      </c>
    </row>
    <row r="213" spans="1:8" ht="28" x14ac:dyDescent="0.2">
      <c r="A213" s="7">
        <v>209</v>
      </c>
      <c r="B213" s="7" t="s">
        <v>102</v>
      </c>
      <c r="C213" s="7" t="s">
        <v>631</v>
      </c>
      <c r="D213" s="7" t="s">
        <v>632</v>
      </c>
      <c r="E213" s="7" t="s">
        <v>213</v>
      </c>
      <c r="F213" s="20"/>
      <c r="G213" s="20"/>
      <c r="H213" s="7" t="str">
        <f t="shared" si="3"/>
        <v/>
      </c>
    </row>
    <row r="214" spans="1:8" x14ac:dyDescent="0.2">
      <c r="A214" s="7">
        <v>210</v>
      </c>
      <c r="B214" s="7" t="s">
        <v>102</v>
      </c>
      <c r="C214" s="7" t="s">
        <v>633</v>
      </c>
      <c r="D214" s="7" t="s">
        <v>634</v>
      </c>
      <c r="E214" s="7" t="s">
        <v>213</v>
      </c>
      <c r="F214" s="20"/>
      <c r="G214" s="20"/>
      <c r="H214" s="7" t="str">
        <f t="shared" si="3"/>
        <v/>
      </c>
    </row>
    <row r="215" spans="1:8" x14ac:dyDescent="0.2">
      <c r="A215" s="7">
        <v>211</v>
      </c>
      <c r="B215" s="7" t="s">
        <v>102</v>
      </c>
      <c r="C215" s="7" t="s">
        <v>635</v>
      </c>
      <c r="D215" s="7" t="s">
        <v>636</v>
      </c>
      <c r="E215" s="7" t="s">
        <v>226</v>
      </c>
      <c r="F215" s="20"/>
      <c r="G215" s="20"/>
      <c r="H215" s="7" t="str">
        <f t="shared" si="3"/>
        <v/>
      </c>
    </row>
    <row r="216" spans="1:8" x14ac:dyDescent="0.2">
      <c r="A216" s="7">
        <v>212</v>
      </c>
      <c r="B216" s="7" t="s">
        <v>102</v>
      </c>
      <c r="C216" s="7" t="s">
        <v>637</v>
      </c>
      <c r="D216" s="7" t="s">
        <v>638</v>
      </c>
      <c r="E216" s="7" t="s">
        <v>213</v>
      </c>
      <c r="F216" s="20"/>
      <c r="G216" s="20"/>
      <c r="H216" s="7" t="str">
        <f t="shared" si="3"/>
        <v/>
      </c>
    </row>
    <row r="217" spans="1:8" x14ac:dyDescent="0.2">
      <c r="A217" s="7">
        <v>213</v>
      </c>
      <c r="B217" s="7" t="s">
        <v>102</v>
      </c>
      <c r="C217" s="7" t="s">
        <v>639</v>
      </c>
      <c r="D217" s="7" t="s">
        <v>640</v>
      </c>
      <c r="E217" s="7" t="s">
        <v>226</v>
      </c>
      <c r="F217" s="20"/>
      <c r="G217" s="20"/>
      <c r="H217" s="7" t="str">
        <f t="shared" si="3"/>
        <v/>
      </c>
    </row>
    <row r="218" spans="1:8" x14ac:dyDescent="0.2">
      <c r="A218" s="7">
        <v>214</v>
      </c>
      <c r="B218" s="7" t="s">
        <v>102</v>
      </c>
      <c r="C218" s="7" t="s">
        <v>641</v>
      </c>
      <c r="D218" s="7" t="s">
        <v>642</v>
      </c>
      <c r="E218" s="7" t="s">
        <v>213</v>
      </c>
      <c r="F218" s="20"/>
      <c r="G218" s="20"/>
      <c r="H218" s="7" t="str">
        <f t="shared" si="3"/>
        <v/>
      </c>
    </row>
    <row r="219" spans="1:8" x14ac:dyDescent="0.2">
      <c r="A219" s="7">
        <v>215</v>
      </c>
      <c r="B219" s="7" t="s">
        <v>102</v>
      </c>
      <c r="C219" s="7" t="s">
        <v>643</v>
      </c>
      <c r="D219" s="7" t="s">
        <v>644</v>
      </c>
      <c r="E219" s="7" t="s">
        <v>213</v>
      </c>
      <c r="F219" s="20"/>
      <c r="G219" s="20"/>
      <c r="H219" s="7" t="str">
        <f t="shared" si="3"/>
        <v/>
      </c>
    </row>
    <row r="220" spans="1:8" x14ac:dyDescent="0.2">
      <c r="A220" s="7">
        <v>216</v>
      </c>
      <c r="B220" s="7" t="s">
        <v>102</v>
      </c>
      <c r="C220" s="7" t="s">
        <v>645</v>
      </c>
      <c r="D220" s="7" t="s">
        <v>646</v>
      </c>
      <c r="E220" s="7" t="s">
        <v>213</v>
      </c>
      <c r="F220" s="20"/>
      <c r="G220" s="20"/>
      <c r="H220" s="7" t="str">
        <f t="shared" si="3"/>
        <v/>
      </c>
    </row>
    <row r="221" spans="1:8" x14ac:dyDescent="0.2">
      <c r="A221" s="7">
        <v>217</v>
      </c>
      <c r="B221" s="7" t="s">
        <v>102</v>
      </c>
      <c r="C221" s="7" t="s">
        <v>647</v>
      </c>
      <c r="D221" s="7" t="s">
        <v>648</v>
      </c>
      <c r="E221" s="7" t="s">
        <v>226</v>
      </c>
      <c r="F221" s="20"/>
      <c r="G221" s="20"/>
      <c r="H221" s="7" t="str">
        <f t="shared" si="3"/>
        <v/>
      </c>
    </row>
    <row r="222" spans="1:8" x14ac:dyDescent="0.2">
      <c r="A222" s="7">
        <v>218</v>
      </c>
      <c r="B222" s="7" t="s">
        <v>102</v>
      </c>
      <c r="C222" s="7" t="s">
        <v>649</v>
      </c>
      <c r="D222" s="7" t="s">
        <v>650</v>
      </c>
      <c r="E222" s="7" t="s">
        <v>226</v>
      </c>
      <c r="F222" s="20"/>
      <c r="G222" s="20"/>
      <c r="H222" s="7" t="str">
        <f t="shared" si="3"/>
        <v/>
      </c>
    </row>
    <row r="223" spans="1:8" x14ac:dyDescent="0.2">
      <c r="A223" s="7">
        <v>219</v>
      </c>
      <c r="B223" s="7" t="s">
        <v>102</v>
      </c>
      <c r="C223" s="7" t="s">
        <v>651</v>
      </c>
      <c r="D223" s="7" t="s">
        <v>652</v>
      </c>
      <c r="E223" s="7" t="s">
        <v>226</v>
      </c>
      <c r="F223" s="20"/>
      <c r="G223" s="20"/>
      <c r="H223" s="7" t="str">
        <f t="shared" si="3"/>
        <v/>
      </c>
    </row>
    <row r="224" spans="1:8" x14ac:dyDescent="0.2">
      <c r="A224" s="7">
        <v>220</v>
      </c>
      <c r="B224" s="7" t="s">
        <v>97</v>
      </c>
      <c r="C224" s="7" t="s">
        <v>653</v>
      </c>
      <c r="D224" s="7" t="s">
        <v>654</v>
      </c>
      <c r="E224" s="7" t="s">
        <v>226</v>
      </c>
      <c r="F224" s="20"/>
      <c r="G224" s="20"/>
      <c r="H224" s="7" t="str">
        <f t="shared" si="3"/>
        <v/>
      </c>
    </row>
    <row r="225" spans="1:8" x14ac:dyDescent="0.2">
      <c r="A225" s="7">
        <v>221</v>
      </c>
      <c r="B225" s="7" t="s">
        <v>97</v>
      </c>
      <c r="C225" s="7" t="s">
        <v>655</v>
      </c>
      <c r="D225" s="7" t="s">
        <v>656</v>
      </c>
      <c r="E225" s="7" t="s">
        <v>226</v>
      </c>
      <c r="F225" s="20"/>
      <c r="G225" s="20"/>
      <c r="H225" s="7" t="str">
        <f t="shared" si="3"/>
        <v/>
      </c>
    </row>
  </sheetData>
  <autoFilter ref="A4:H225" xr:uid="{00000000-0009-0000-0000-000006000000}"/>
  <conditionalFormatting sqref="H5:H225">
    <cfRule type="cellIs" dxfId="0" priority="1" operator="greaterThanOrEqual">
      <formula>6</formula>
    </cfRule>
  </conditionalFormatting>
  <dataValidations count="1">
    <dataValidation type="whole" allowBlank="1"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xr:uid="{00000000-0002-0000-0600-000000000000}">
      <formula1>0</formula1>
      <formula2>3</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A0A0A"/>
  </sheetPr>
  <dimension ref="A1:C19"/>
  <sheetViews>
    <sheetView showGridLines="0" workbookViewId="0"/>
  </sheetViews>
  <sheetFormatPr baseColWidth="10" defaultColWidth="8.83203125" defaultRowHeight="15" x14ac:dyDescent="0.2"/>
  <cols>
    <col min="1" max="1" width="44" customWidth="1"/>
    <col min="2" max="2" width="16" customWidth="1"/>
    <col min="3" max="3" width="60" customWidth="1"/>
  </cols>
  <sheetData>
    <row r="1" spans="1:3" ht="28" customHeight="1" x14ac:dyDescent="0.25">
      <c r="A1" s="5" t="s">
        <v>657</v>
      </c>
    </row>
    <row r="2" spans="1:3" x14ac:dyDescent="0.2">
      <c r="A2" s="2" t="s">
        <v>658</v>
      </c>
    </row>
    <row r="4" spans="1:3" ht="30" customHeight="1" x14ac:dyDescent="0.2">
      <c r="A4" s="6" t="s">
        <v>659</v>
      </c>
      <c r="B4" s="6" t="s">
        <v>660</v>
      </c>
      <c r="C4" s="6" t="s">
        <v>661</v>
      </c>
    </row>
    <row r="5" spans="1:3" x14ac:dyDescent="0.2">
      <c r="A5" s="7" t="s">
        <v>662</v>
      </c>
      <c r="B5" s="39">
        <f>COUNTA('2 Records'!B5:B38)</f>
        <v>34</v>
      </c>
      <c r="C5" s="7"/>
    </row>
    <row r="6" spans="1:3" x14ac:dyDescent="0.2">
      <c r="A6" s="7" t="s">
        <v>663</v>
      </c>
      <c r="B6" s="39">
        <f>COUNTA('2 Records'!C5:C38)</f>
        <v>1</v>
      </c>
      <c r="C6" s="7"/>
    </row>
    <row r="7" spans="1:3" x14ac:dyDescent="0.2">
      <c r="A7" s="7" t="s">
        <v>664</v>
      </c>
      <c r="B7" s="39">
        <f>COUNTA('2 Records'!C5:C38)-COUNTIF('2 Records'!C5:C38,"Not kept")</f>
        <v>1</v>
      </c>
      <c r="C7" s="7"/>
    </row>
    <row r="8" spans="1:3" x14ac:dyDescent="0.2">
      <c r="A8" s="7" t="s">
        <v>665</v>
      </c>
      <c r="B8" s="39">
        <f>COUNTIF('2 Records'!C5:C38,"Paper")</f>
        <v>0</v>
      </c>
      <c r="C8" s="7" t="s">
        <v>666</v>
      </c>
    </row>
    <row r="9" spans="1:3" x14ac:dyDescent="0.2">
      <c r="A9" s="7" t="s">
        <v>667</v>
      </c>
      <c r="B9" s="21">
        <f>IFERROR(AVERAGE('2 Records'!G5:G38),0)</f>
        <v>0.8</v>
      </c>
      <c r="C9" s="7" t="s">
        <v>668</v>
      </c>
    </row>
    <row r="10" spans="1:3" x14ac:dyDescent="0.2">
      <c r="A10" s="7" t="s">
        <v>669</v>
      </c>
      <c r="B10" s="39">
        <f>COUNTIF('3 Meters'!B5:B22,"Yes")</f>
        <v>1</v>
      </c>
      <c r="C10" s="7"/>
    </row>
    <row r="11" spans="1:3" x14ac:dyDescent="0.2">
      <c r="A11" s="7" t="s">
        <v>670</v>
      </c>
      <c r="B11" s="39">
        <f ca="1">COUNTIF('3 Meters'!D5:D22,"Yes")</f>
        <v>1</v>
      </c>
      <c r="C11" s="7"/>
    </row>
    <row r="12" spans="1:3" x14ac:dyDescent="0.2">
      <c r="A12" s="7" t="s">
        <v>671</v>
      </c>
      <c r="B12" s="21">
        <f ca="1">IFERROR(B11/B10,0)</f>
        <v>1</v>
      </c>
      <c r="C12" s="7" t="s">
        <v>672</v>
      </c>
    </row>
    <row r="13" spans="1:3" x14ac:dyDescent="0.2">
      <c r="A13" s="7" t="s">
        <v>673</v>
      </c>
      <c r="B13" s="39">
        <f>COUNT('4 Baseline'!G5:G16)</f>
        <v>1</v>
      </c>
      <c r="C13" s="7" t="s">
        <v>674</v>
      </c>
    </row>
    <row r="14" spans="1:3" x14ac:dyDescent="0.2">
      <c r="A14" s="7" t="s">
        <v>675</v>
      </c>
      <c r="B14" s="21">
        <f>MIN(1,B13/3)</f>
        <v>0.33333333333333331</v>
      </c>
      <c r="C14" s="7"/>
    </row>
    <row r="15" spans="1:3" x14ac:dyDescent="0.2">
      <c r="A15" s="7" t="s">
        <v>676</v>
      </c>
      <c r="B15" s="39">
        <f>COUNT('6 Questions'!H5:H225)</f>
        <v>1</v>
      </c>
      <c r="C15" s="7"/>
    </row>
    <row r="16" spans="1:3" x14ac:dyDescent="0.2">
      <c r="A16" s="7" t="s">
        <v>677</v>
      </c>
      <c r="B16" s="39">
        <f>COUNTIF('6 Questions'!H5:H225,"&gt;=6")</f>
        <v>1</v>
      </c>
      <c r="C16" s="7" t="s">
        <v>678</v>
      </c>
    </row>
    <row r="17" spans="1:3" x14ac:dyDescent="0.2">
      <c r="A17" s="7" t="s">
        <v>679</v>
      </c>
      <c r="B17" s="36">
        <f>'5 Savings'!B17</f>
        <v>5575173.9130434785</v>
      </c>
      <c r="C17" s="7" t="s">
        <v>680</v>
      </c>
    </row>
    <row r="18" spans="1:3" x14ac:dyDescent="0.2">
      <c r="A18" s="7" t="s">
        <v>681</v>
      </c>
      <c r="B18" s="21">
        <f ca="1">ROUND(0.5*B9+0.2*B12+0.3*B14,2)</f>
        <v>0.7</v>
      </c>
      <c r="C18" s="7" t="s">
        <v>682</v>
      </c>
    </row>
    <row r="19" spans="1:3" x14ac:dyDescent="0.2">
      <c r="A19" s="37" t="s">
        <v>683</v>
      </c>
      <c r="B19" s="42" t="str">
        <f ca="1">IF(B18&gt;=0.7,"Ready to start",IF(B18&gt;=0.4,"Ready with a two-week data tidy-up","Start with the records"))</f>
        <v>Ready to start</v>
      </c>
      <c r="C19" s="43"/>
    </row>
  </sheetData>
  <mergeCells count="1">
    <mergeCell ref="B19:C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1 Profile</vt:lpstr>
      <vt:lpstr>2 Records</vt:lpstr>
      <vt:lpstr>3 Meters</vt:lpstr>
      <vt:lpstr>4 Baseline</vt:lpstr>
      <vt:lpstr>5 Savings</vt:lpstr>
      <vt:lpstr>6 Questions</vt:lpstr>
      <vt:lpstr>7 Readiness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Beer365 Readiness Workbook</dc:title>
  <dc:creator>Ankur Napa</dc:creator>
  <cp:lastModifiedBy>Ankur Napa</cp:lastModifiedBy>
  <dcterms:created xsi:type="dcterms:W3CDTF">2026-10-06T12:41:47Z</dcterms:created>
  <dcterms:modified xsi:type="dcterms:W3CDTF">2026-10-06T12:41:48Z</dcterms:modified>
</cp:coreProperties>
</file>